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ftad01\Downloads\"/>
    </mc:Choice>
  </mc:AlternateContent>
  <xr:revisionPtr revIDLastSave="0" documentId="13_ncr:1_{E50AB17B-C723-42C5-9F22-14155430C836}" xr6:coauthVersionLast="36" xr6:coauthVersionMax="36" xr10:uidLastSave="{00000000-0000-0000-0000-000000000000}"/>
  <bookViews>
    <workbookView xWindow="7095" yWindow="45" windowWidth="13155" windowHeight="10590" tabRatio="861" firstSheet="4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</sheets>
  <functionGroups builtInGroupCount="19"/>
  <externalReferences>
    <externalReference r:id="rId11"/>
  </externalReferences>
  <definedNames>
    <definedName name="_xlnm._FilterDatabase" localSheetId="7" hidden="1">'Obs-Prevalence'!$A$8:$G$122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Parameters'!$B$2:$B$100</definedName>
    <definedName name="form_version" localSheetId="0">General!$G$1</definedName>
    <definedName name="gender_selection">Options!$D$2:$D$5</definedName>
    <definedName name="Incidence">[1]Options!$E$2</definedName>
    <definedName name="initial_value" localSheetId="2">'Model Parameters'!$C$2:$C$100</definedName>
    <definedName name="map_to" localSheetId="2">'Model Parameters'!$F$2:$F$100</definedName>
    <definedName name="max" localSheetId="2">'Model Parameters'!$E$2:$E$100</definedName>
    <definedName name="min" localSheetId="2">'Model Parameters'!$D$2:$D$100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<sst xmlns="http://schemas.openxmlformats.org/spreadsheetml/2006/main" count="2019" uniqueCount="258">
  <si>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</si>
  <si>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</si>
  <si>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</si>
  <si>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</si>
  <si>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</si>
  <si>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</si>
  <si>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</si>
  <si>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</si>
  <si>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</si>
  <si>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</si>
  <si>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</si>
  <si>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</si>
  <si>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</si>
  <si>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</si>
  <si>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</si>
  <si>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</si>
  <si>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</si>
  <si>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</si>
  <si>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</si>
  <si>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</si>
  <si>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</si>
  <si>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</si>
  <si>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</si>
  <si>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</si>
  <si>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</si>
  <si>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</si>
  <si>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</si>
  <si>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</si>
  <si>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</si>
  <si>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</si>
  <si>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</si>
  <si>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</si>
  <si>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</si>
  <si>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</si>
  <si>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</si>
  <si>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</si>
  <si>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</si>
  <si>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</si>
  <si>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</si>
  <si>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</si>
  <si>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</si>
  <si>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</si>
  <si>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</si>
  <si>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</si>
  <si>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</si>
  <si>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</si>
  <si>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</si>
  <si>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</si>
  <si>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</si>
  <si>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</si>
  <si>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</si>
  <si>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</si>
  <si>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</si>
  <si>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</si>
  <si>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</si>
  <si>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</si>
  <si>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</si>
  <si>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</si>
  <si>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</si>
  <si>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</si>
  <si>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</si>
  <si>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</si>
  <si>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</si>
  <si>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</si>
  <si>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</si>
  <si>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</si>
  <si>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</si>
  <si>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</si>
  <si>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</si>
  <si>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</si>
  <si>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</si>
  <si>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</si>
  <si>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</si>
  <si>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</si>
  <si>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</si>
  <si>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</si>
  <si>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</si>
  <si>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</si>
  <si>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</si>
  <si>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</si>
  <si>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</si>
  <si>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</si>
  <si>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</si>
  <si>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</si>
  <si>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</si>
  <si>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</si>
  <si>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</si>
  <si>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</si>
  <si>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</si>
  <si>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</si>
  <si>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</si>
  <si>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</si>
  <si>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</si>
  <si>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</si>
  <si>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</si>
  <si>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</si>
  <si>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</si>
  <si>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</si>
  <si>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</si>
  <si>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</si>
  <si>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</si>
  <si>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</si>
  <si>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</si>
  <si>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</si>
  <si>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</si>
  <si>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</si>
  <si>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</si>
  <si>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</si>
  <si>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</si>
  <si>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</si>
  <si>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</si>
  <si>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</si>
  <si>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</si>
  <si>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</si>
  <si>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</si>
  <si>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</si>
  <si>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</si>
  <si>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</si>
  <si>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</si>
  <si>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</si>
  <si>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</si>
  <si>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</si>
  <si>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</si>
  <si>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</si>
  <si>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</si>
  <si>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</si>
  <si>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</si>
  <si>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</si>
  <si>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</si>
  <si>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</si>
  <si>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</si>
  <si>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</si>
  <si>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</si>
  <si>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</si>
  <si>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</si>
  <si>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</si>
  <si>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</si>
  <si>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</si>
  <si>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</si>
  <si>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</si>
  <si>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</si>
  <si>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</si>
  <si>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</si>
  <si>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</si>
  <si>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</si>
  <si>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</si>
  <si>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</si>
  <si>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</si>
  <si>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</si>
  <si>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</si>
  <si>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</si>
  <si>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</si>
  <si>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</si>
  <si>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</si>
  <si>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</si>
  <si>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</si>
  <si>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</si>
  <si>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</si>
  <si>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</si>
  <si>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</si>
  <si>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</si>
  <si>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</si>
  <si>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</si>
  <si>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</si>
  <si>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</si>
  <si>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</si>
  <si>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</si>
  <si>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</si>
  <si>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</si>
  <si>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</si>
  <si>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</si>
  <si>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</si>
  <si>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</si>
  <si>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</si>
  <si>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</si>
  <si>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</si>
  <si>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</si>
  <si>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</si>
  <si>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</si>
  <si>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</si>
  <si>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</si>
  <si>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</si>
  <si>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</si>
  <si>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</si>
  <si>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</si>
  <si>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</si>
  <si>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</si>
  <si>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</si>
  <si>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</si>
  <si>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</si>
  <si>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</si>
  <si>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</si>
  <si>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Actual_IndividualIntervention_Config__KP_ART_Link.Ramp_Max</t>
  </si>
  <si>
    <t>Actual_IndividualIntervention_Config__KP_ART_Link.Ramp_MidYear</t>
  </si>
  <si>
    <t>PreARTLinkMin</t>
  </si>
  <si>
    <t>PreARTLinkMax</t>
  </si>
  <si>
    <t>SexualDebutAgeFemaleWeibullScale</t>
  </si>
  <si>
    <t>SexualDebutAgeFemaleWeibullHeterogeneity</t>
  </si>
  <si>
    <t>SexualDebutAgeMaleWeibullScale</t>
  </si>
  <si>
    <t>SexualDebutAgeMaleWeibullHeterogeneity</t>
  </si>
  <si>
    <t>TrnsFormRate</t>
  </si>
  <si>
    <t>InfmrlFormRate</t>
  </si>
  <si>
    <t>MrtlFormRate</t>
  </si>
  <si>
    <t>MaleToFemaleYoung</t>
  </si>
  <si>
    <t>MaleToFemaleOld</t>
  </si>
  <si>
    <t>TrnsCondomMid</t>
  </si>
  <si>
    <t>TrnsCondomRate</t>
  </si>
  <si>
    <t>TrnsCondomMax</t>
  </si>
  <si>
    <t>InfrmlCondomMid</t>
  </si>
  <si>
    <t>InfrmlCondomRate</t>
  </si>
  <si>
    <t>InfrmlCondomsMax</t>
  </si>
  <si>
    <t>MrtlCondomMid</t>
  </si>
  <si>
    <t>MrtlCondomRate</t>
  </si>
  <si>
    <t>MrtlCondomMax</t>
  </si>
  <si>
    <t>RiskAssortivity</t>
  </si>
  <si>
    <t>PrExTrnsMaleLOW</t>
  </si>
  <si>
    <t>PrExTrnsMaleMED</t>
  </si>
  <si>
    <t>PrExTrnsFemLOW</t>
  </si>
  <si>
    <t>PrExTrnsFemMED</t>
  </si>
  <si>
    <t>PrExInfrmlMaleLOW</t>
  </si>
  <si>
    <t>PrExInfrmlFemLOW</t>
  </si>
  <si>
    <t>MaxTrnsMLOW</t>
  </si>
  <si>
    <t>MaxTrnsFLOW</t>
  </si>
  <si>
    <t>MaxInfrmlMLOW</t>
  </si>
  <si>
    <t>MaxInfrmlFLOW</t>
  </si>
  <si>
    <t>PrExInfrmlMaleMED</t>
  </si>
  <si>
    <t>PrExInfrmlFemMED</t>
  </si>
  <si>
    <t>MaxTrnsMMED</t>
  </si>
  <si>
    <t>MaxTrnsFMED</t>
  </si>
  <si>
    <t>MaxInfrmlMMED</t>
  </si>
  <si>
    <t>MaxInfrmlFMED</t>
  </si>
  <si>
    <t>MaxMrtlMMED</t>
  </si>
  <si>
    <t>MaxMrtlFMED</t>
  </si>
  <si>
    <t>InfrmlDurHet</t>
  </si>
  <si>
    <t>PreARTLinkMid</t>
  </si>
  <si>
    <t>ARTLinkMax</t>
  </si>
  <si>
    <t>ARTLinkMid</t>
  </si>
  <si>
    <t>KisiiTrnsCondomsMax</t>
  </si>
  <si>
    <t>KisiiInfrmlCondomsMax</t>
  </si>
  <si>
    <t>KisiiLOWRisk</t>
  </si>
  <si>
    <t>KisumuTrnsCondomsMax</t>
  </si>
  <si>
    <t>KisumuInfrmlCondomsMax</t>
  </si>
  <si>
    <t>KisumuLOWRisk</t>
  </si>
  <si>
    <t>MigoriTrnsCondomsMax</t>
  </si>
  <si>
    <t>MigoriInfrmlCondomsMax</t>
  </si>
  <si>
    <t>MigoriLOWRisk</t>
  </si>
  <si>
    <t>NyamiraTrnsCondomsMax</t>
  </si>
  <si>
    <t>NyamiraInfrmlCondomsMax</t>
  </si>
  <si>
    <t>NyamiraLOWRisk</t>
  </si>
  <si>
    <t>SiayaTrnsCondomsMax</t>
  </si>
  <si>
    <t>SiayaInfrmlCondomsMax</t>
  </si>
  <si>
    <t>SiayaLOWRisk</t>
  </si>
  <si>
    <t>SeedYrHigh</t>
  </si>
  <si>
    <t>Actual_IndividualIntervention_Config__KP_PreART_Link.Ramp_MidYear</t>
  </si>
  <si>
    <t>Homa_BayTrnsCondomsMax</t>
  </si>
  <si>
    <t>Homa_BayInfrmlCondomsMax</t>
  </si>
  <si>
    <t>Homa_BayLOWRisk</t>
  </si>
  <si>
    <t>LogBaseInfectivity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</si>
</sst>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0" fillId="3" borderId="2" xfId="0" applyFont="1" applyFill="1" applyBorder="1"/>
    <xf numFmtId="0" fontId="1" fillId="13" borderId="2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e-young.kim/OneDrive%20-%20AHRI/Desktop/calibration_ingest_form_Malawi_3_n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Population"/>
      <sheetName val="Obs-OnART"/>
      <sheetName val="Obs-Incidence"/>
      <sheetName val="Obs-ARTCove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1" t="s">
        <v>6</v>
      </c>
      <c r="B1" s="22"/>
      <c r="E1" s="9" t="s">
        <v>64</v>
      </c>
      <c r="F1" s="9"/>
      <c r="G1" s="9">
        <v>0.3</v>
      </c>
    </row>
    <row r="2" spans="1:8" x14ac:dyDescent="0.25">
      <c r="A2" s="23" t="s">
        <v>8</v>
      </c>
      <c r="B2" s="22" t="s">
        <v>12</v>
      </c>
      <c r="C2" s="14" t="s">
        <v>10</v>
      </c>
    </row>
    <row r="3" spans="1:8" x14ac:dyDescent="0.25">
      <c r="A3" s="23" t="s">
        <v>7</v>
      </c>
      <c r="B3" s="22" t="s">
        <v>12</v>
      </c>
    </row>
    <row r="4" spans="1:8" x14ac:dyDescent="0.25">
      <c r="A4" s="23" t="s">
        <v>9</v>
      </c>
      <c r="B4" s="22"/>
      <c r="C4" s="16" t="s">
        <v>40</v>
      </c>
    </row>
    <row r="5" spans="1:8" x14ac:dyDescent="0.25">
      <c r="A5" s="23" t="s">
        <v>25</v>
      </c>
      <c r="B5" s="22"/>
      <c r="C5" s="1" t="s">
        <v>27</v>
      </c>
    </row>
    <row r="6" spans="1:8" x14ac:dyDescent="0.25">
      <c r="A6" s="23" t="s">
        <v>26</v>
      </c>
      <c r="B6" s="22"/>
      <c r="C6" s="1" t="s">
        <v>27</v>
      </c>
    </row>
    <row r="8" spans="1:8" x14ac:dyDescent="0.25">
      <c r="A8" s="4" t="s">
        <v>47</v>
      </c>
      <c r="B8" s="7" t="b">
        <v>0</v>
      </c>
      <c r="D8" s="22" t="s">
        <v>53</v>
      </c>
      <c r="E8" s="23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Parameters'!B2:B100, FALSE)</f>
        <v>2</v>
      </c>
      <c r="C11" s="14" t="s">
        <v>37</v>
      </c>
    </row>
    <row r="12" spans="1:8" x14ac:dyDescent="0.25">
      <c r="A12" s="3" t="s">
        <v>36</v>
      </c>
      <c r="B12" s="3">
        <f>COUNTIF('Model Parameters'!B2:B100, TRUE)</f>
        <v>61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zoomScale="80" zoomScaleNormal="80" workbookViewId="0">
      <selection activeCell="D23" sqref="D23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2697858</v>
      </c>
    </row>
    <row r="9" spans="1:13" x14ac:dyDescent="0.25">
      <c r="A9" s="9" t="s">
        <v>86</v>
      </c>
      <c r="B9" s="7">
        <v>2009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0"/>
  <sheetViews>
    <sheetView zoomScale="80" zoomScaleNormal="80" workbookViewId="0">
      <selection activeCell="G16" sqref="G16"/>
    </sheetView>
  </sheetViews>
  <sheetFormatPr defaultRowHeight="15" x14ac:dyDescent="0.25"/>
  <cols>
    <col min="1" max="1" width="47.42578125" bestFit="1" customWidth="1"/>
    <col min="3" max="3" width="10.85546875" bestFit="1" customWidth="1"/>
    <col min="6" max="6" width="114.28515625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4" t="s">
        <v>252</v>
      </c>
      <c r="B2" s="5" t="b">
        <v>0</v>
      </c>
      <c r="C2" s="4">
        <v>1982</v>
      </c>
      <c r="D2" s="5">
        <v>1980</v>
      </c>
      <c r="E2" s="4">
        <v>1988</v>
      </c>
      <c r="F2" s="5" t="s">
        <v>149</v>
      </c>
      <c r="G2" s="16"/>
    </row>
    <row r="3" spans="1:7" x14ac:dyDescent="0.25">
      <c r="A3" s="4" t="s">
        <v>257</v>
      </c>
      <c r="B3" s="5" t="b">
        <v>1</v>
      </c>
      <c r="C3" s="4">
        <v>1.6009419999999999E-3</v>
      </c>
      <c r="D3" s="5">
        <v>1E-4</v>
      </c>
      <c r="E3" s="4">
        <v>4.0000000000000001E-3</v>
      </c>
      <c r="F3" s="5" t="s">
        <v>108</v>
      </c>
    </row>
    <row r="4" spans="1:7" x14ac:dyDescent="0.25">
      <c r="A4" s="4" t="s">
        <v>196</v>
      </c>
      <c r="B4" s="5" t="b">
        <v>1</v>
      </c>
      <c r="C4" s="4">
        <v>16.035531259999999</v>
      </c>
      <c r="D4" s="5">
        <v>15</v>
      </c>
      <c r="E4" s="4">
        <v>20</v>
      </c>
      <c r="F4" s="5" t="s">
        <v>143</v>
      </c>
    </row>
    <row r="5" spans="1:7" x14ac:dyDescent="0.25">
      <c r="A5" s="4" t="s">
        <v>197</v>
      </c>
      <c r="B5" s="5" t="b">
        <v>1</v>
      </c>
      <c r="C5" s="4">
        <v>8.5911978999999999E-2</v>
      </c>
      <c r="D5" s="5">
        <v>0.04</v>
      </c>
      <c r="E5" s="4">
        <v>0.4</v>
      </c>
      <c r="F5" s="5" t="s">
        <v>144</v>
      </c>
      <c r="G5" s="16"/>
    </row>
    <row r="6" spans="1:7" x14ac:dyDescent="0.25">
      <c r="A6" s="4" t="s">
        <v>198</v>
      </c>
      <c r="B6" s="5" t="b">
        <v>1</v>
      </c>
      <c r="C6" s="4">
        <v>16.089725739999999</v>
      </c>
      <c r="D6" s="5">
        <v>15</v>
      </c>
      <c r="E6" s="4">
        <v>20</v>
      </c>
      <c r="F6" s="5" t="s">
        <v>145</v>
      </c>
    </row>
    <row r="7" spans="1:7" x14ac:dyDescent="0.25">
      <c r="A7" s="4" t="s">
        <v>199</v>
      </c>
      <c r="B7" s="5" t="b">
        <v>1</v>
      </c>
      <c r="C7" s="4">
        <v>0.04</v>
      </c>
      <c r="D7" s="5">
        <v>0.04</v>
      </c>
      <c r="E7" s="4">
        <v>0.4</v>
      </c>
      <c r="F7" s="5" t="s">
        <v>146</v>
      </c>
      <c r="G7" s="16"/>
    </row>
    <row r="8" spans="1:7" x14ac:dyDescent="0.25">
      <c r="A8" s="4" t="s">
        <v>200</v>
      </c>
      <c r="B8" s="5" t="b">
        <v>1</v>
      </c>
      <c r="C8" s="4">
        <v>1.363426E-3</v>
      </c>
      <c r="D8" s="5">
        <v>1.36986301369863E-4</v>
      </c>
      <c r="E8" s="4">
        <v>2.7397260273972599E-3</v>
      </c>
      <c r="F8" s="5" t="s">
        <v>150</v>
      </c>
    </row>
    <row r="9" spans="1:7" x14ac:dyDescent="0.25">
      <c r="A9" s="4" t="s">
        <v>201</v>
      </c>
      <c r="B9" s="5" t="b">
        <v>1</v>
      </c>
      <c r="C9" s="4">
        <v>1.39021E-4</v>
      </c>
      <c r="D9" s="20">
        <v>9.1324200913241998E-5</v>
      </c>
      <c r="E9" s="4">
        <v>2.7397260273972599E-3</v>
      </c>
      <c r="F9" s="5" t="s">
        <v>151</v>
      </c>
      <c r="G9" s="16"/>
    </row>
    <row r="10" spans="1:7" x14ac:dyDescent="0.25">
      <c r="A10" s="4" t="s">
        <v>202</v>
      </c>
      <c r="B10" s="5" t="b">
        <v>1</v>
      </c>
      <c r="C10" s="4">
        <v>5.4799999999999997E-5</v>
      </c>
      <c r="D10" s="20">
        <v>5.47945205479452E-5</v>
      </c>
      <c r="E10" s="4">
        <v>2.7397260273972601E-4</v>
      </c>
      <c r="F10" s="5" t="s">
        <v>152</v>
      </c>
    </row>
    <row r="11" spans="1:7" x14ac:dyDescent="0.25">
      <c r="A11" s="4" t="s">
        <v>203</v>
      </c>
      <c r="B11" s="5" t="b">
        <v>1</v>
      </c>
      <c r="C11" s="4">
        <v>1.1488396860000001</v>
      </c>
      <c r="D11" s="5">
        <v>1</v>
      </c>
      <c r="E11" s="4">
        <v>5</v>
      </c>
      <c r="F11" s="5"/>
      <c r="G11" s="16"/>
    </row>
    <row r="12" spans="1:7" x14ac:dyDescent="0.25">
      <c r="A12" s="4" t="s">
        <v>204</v>
      </c>
      <c r="B12" s="5" t="b">
        <v>1</v>
      </c>
      <c r="C12" s="4">
        <v>1.4001189089999999</v>
      </c>
      <c r="D12" s="5">
        <v>1</v>
      </c>
      <c r="E12" s="4">
        <v>5</v>
      </c>
      <c r="F12" s="5"/>
    </row>
    <row r="13" spans="1:7" x14ac:dyDescent="0.25">
      <c r="A13" s="4" t="s">
        <v>205</v>
      </c>
      <c r="B13" s="5" t="b">
        <v>1</v>
      </c>
      <c r="C13" s="4">
        <v>1997.959517</v>
      </c>
      <c r="D13" s="5">
        <v>1990</v>
      </c>
      <c r="E13" s="4">
        <v>2005</v>
      </c>
      <c r="F13" s="5" t="s">
        <v>153</v>
      </c>
      <c r="G13" s="16"/>
    </row>
    <row r="14" spans="1:7" x14ac:dyDescent="0.25">
      <c r="A14" s="4" t="s">
        <v>206</v>
      </c>
      <c r="B14" s="5" t="b">
        <v>1</v>
      </c>
      <c r="C14" s="4">
        <v>1.804323307</v>
      </c>
      <c r="D14" s="5">
        <v>0</v>
      </c>
      <c r="E14" s="4">
        <v>3</v>
      </c>
      <c r="F14" s="5" t="s">
        <v>154</v>
      </c>
    </row>
    <row r="15" spans="1:7" x14ac:dyDescent="0.25">
      <c r="A15" s="4" t="s">
        <v>207</v>
      </c>
      <c r="B15" s="5" t="b">
        <v>1</v>
      </c>
      <c r="C15" s="4">
        <v>0.245522669</v>
      </c>
      <c r="D15" s="5">
        <v>0</v>
      </c>
      <c r="E15" s="4">
        <v>0.5</v>
      </c>
      <c r="F15" s="5" t="s">
        <v>155</v>
      </c>
      <c r="G15" s="16"/>
    </row>
    <row r="16" spans="1:7" x14ac:dyDescent="0.25">
      <c r="A16" s="4" t="s">
        <v>208</v>
      </c>
      <c r="B16" s="5" t="b">
        <v>1</v>
      </c>
      <c r="C16" s="4">
        <v>1998.6349310000001</v>
      </c>
      <c r="D16" s="5">
        <v>1990</v>
      </c>
      <c r="E16" s="4">
        <v>2005</v>
      </c>
      <c r="F16" s="5" t="s">
        <v>156</v>
      </c>
    </row>
    <row r="17" spans="1:7" x14ac:dyDescent="0.25">
      <c r="A17" s="4" t="s">
        <v>209</v>
      </c>
      <c r="B17" s="5" t="b">
        <v>1</v>
      </c>
      <c r="C17" s="4">
        <v>1.746406779</v>
      </c>
      <c r="D17" s="5">
        <v>0</v>
      </c>
      <c r="E17" s="4">
        <v>3</v>
      </c>
      <c r="F17" s="5" t="s">
        <v>157</v>
      </c>
      <c r="G17" s="16"/>
    </row>
    <row r="18" spans="1:7" x14ac:dyDescent="0.25">
      <c r="A18" s="4" t="s">
        <v>210</v>
      </c>
      <c r="B18" s="5" t="b">
        <v>1</v>
      </c>
      <c r="C18" s="4">
        <v>0.21723150999999999</v>
      </c>
      <c r="D18" s="5">
        <v>0</v>
      </c>
      <c r="E18" s="4">
        <v>0.4</v>
      </c>
      <c r="F18" s="5" t="s">
        <v>158</v>
      </c>
    </row>
    <row r="19" spans="1:7" x14ac:dyDescent="0.25">
      <c r="A19" s="4" t="s">
        <v>211</v>
      </c>
      <c r="B19" s="5" t="b">
        <v>1</v>
      </c>
      <c r="C19" s="4">
        <v>1995.672231</v>
      </c>
      <c r="D19" s="5">
        <v>1990</v>
      </c>
      <c r="E19" s="4">
        <v>2005</v>
      </c>
      <c r="F19" s="5" t="s">
        <v>159</v>
      </c>
      <c r="G19" s="16"/>
    </row>
    <row r="20" spans="1:7" x14ac:dyDescent="0.25">
      <c r="A20" s="4" t="s">
        <v>212</v>
      </c>
      <c r="B20" s="5" t="b">
        <v>1</v>
      </c>
      <c r="C20" s="4">
        <v>2.0471099449999999</v>
      </c>
      <c r="D20" s="5">
        <v>0</v>
      </c>
      <c r="E20" s="4">
        <v>3</v>
      </c>
      <c r="F20" s="5" t="s">
        <v>160</v>
      </c>
    </row>
    <row r="21" spans="1:7" x14ac:dyDescent="0.25">
      <c r="A21" s="4" t="s">
        <v>213</v>
      </c>
      <c r="B21" s="5" t="b">
        <v>1</v>
      </c>
      <c r="C21" s="4">
        <v>0.19145963399999999</v>
      </c>
      <c r="D21" s="5">
        <v>0</v>
      </c>
      <c r="E21" s="4">
        <v>0.3</v>
      </c>
      <c r="F21" s="5" t="s">
        <v>161</v>
      </c>
      <c r="G21" s="16"/>
    </row>
    <row r="22" spans="1:7" x14ac:dyDescent="0.25">
      <c r="A22" s="4" t="s">
        <v>214</v>
      </c>
      <c r="B22" s="5" t="b">
        <v>1</v>
      </c>
      <c r="C22" s="4">
        <v>0.63883654199999995</v>
      </c>
      <c r="D22" s="5">
        <v>0.05</v>
      </c>
      <c r="E22" s="4">
        <v>0.95</v>
      </c>
      <c r="F22" s="5"/>
    </row>
    <row r="23" spans="1:7" x14ac:dyDescent="0.25">
      <c r="A23" s="4" t="s">
        <v>215</v>
      </c>
      <c r="B23" s="5" t="b">
        <v>1</v>
      </c>
      <c r="C23" s="4">
        <v>0.32760644</v>
      </c>
      <c r="D23" s="5">
        <v>0</v>
      </c>
      <c r="E23" s="4">
        <v>0.5</v>
      </c>
      <c r="F23" s="5" t="s">
        <v>162</v>
      </c>
      <c r="G23" s="16"/>
    </row>
    <row r="24" spans="1:7" x14ac:dyDescent="0.25">
      <c r="A24" s="4" t="s">
        <v>216</v>
      </c>
      <c r="B24" s="5" t="b">
        <v>1</v>
      </c>
      <c r="C24" s="4">
        <v>0.60947002699999997</v>
      </c>
      <c r="D24" s="5">
        <v>0</v>
      </c>
      <c r="E24" s="4">
        <v>0.8</v>
      </c>
      <c r="F24" s="5" t="s">
        <v>163</v>
      </c>
    </row>
    <row r="25" spans="1:7" x14ac:dyDescent="0.25">
      <c r="A25" s="4" t="s">
        <v>217</v>
      </c>
      <c r="B25" s="5" t="b">
        <v>1</v>
      </c>
      <c r="C25" s="4">
        <v>3.2665898999999998E-2</v>
      </c>
      <c r="D25" s="5">
        <v>0</v>
      </c>
      <c r="E25" s="4">
        <v>0.25</v>
      </c>
      <c r="F25" s="5" t="s">
        <v>164</v>
      </c>
      <c r="G25" s="16"/>
    </row>
    <row r="26" spans="1:7" x14ac:dyDescent="0.25">
      <c r="A26" s="4" t="s">
        <v>218</v>
      </c>
      <c r="B26" s="5" t="b">
        <v>1</v>
      </c>
      <c r="C26" s="4">
        <v>0.46799182299999997</v>
      </c>
      <c r="D26" s="5">
        <v>0</v>
      </c>
      <c r="E26" s="4">
        <v>0.8</v>
      </c>
      <c r="F26" s="5" t="s">
        <v>165</v>
      </c>
    </row>
    <row r="27" spans="1:7" x14ac:dyDescent="0.25">
      <c r="A27" s="4" t="s">
        <v>219</v>
      </c>
      <c r="B27" s="5" t="b">
        <v>1</v>
      </c>
      <c r="C27" s="4">
        <v>0.23337449099999999</v>
      </c>
      <c r="D27" s="5">
        <v>0</v>
      </c>
      <c r="E27" s="4">
        <v>0.6</v>
      </c>
      <c r="F27" s="5" t="s">
        <v>166</v>
      </c>
      <c r="G27" s="16"/>
    </row>
    <row r="28" spans="1:7" x14ac:dyDescent="0.25">
      <c r="A28" s="4" t="s">
        <v>220</v>
      </c>
      <c r="B28" s="5" t="b">
        <v>1</v>
      </c>
      <c r="C28" s="4">
        <v>0.363899423</v>
      </c>
      <c r="D28" s="5">
        <v>0</v>
      </c>
      <c r="E28" s="4">
        <v>0.5</v>
      </c>
      <c r="F28" s="5" t="s">
        <v>166</v>
      </c>
    </row>
    <row r="29" spans="1:7" x14ac:dyDescent="0.25">
      <c r="A29" s="4" t="s">
        <v>221</v>
      </c>
      <c r="B29" s="5" t="b">
        <v>1</v>
      </c>
      <c r="C29" s="4">
        <v>1.701438225</v>
      </c>
      <c r="D29" s="5">
        <v>0.9</v>
      </c>
      <c r="E29" s="4">
        <v>2</v>
      </c>
      <c r="F29" s="5" t="s">
        <v>167</v>
      </c>
      <c r="G29" s="16"/>
    </row>
    <row r="30" spans="1:7" x14ac:dyDescent="0.25">
      <c r="A30" s="4" t="s">
        <v>222</v>
      </c>
      <c r="B30" s="5" t="b">
        <v>1</v>
      </c>
      <c r="C30" s="4">
        <v>1.618856619</v>
      </c>
      <c r="D30" s="5">
        <v>0.9</v>
      </c>
      <c r="E30" s="4">
        <v>2</v>
      </c>
      <c r="F30" s="5" t="s">
        <v>168</v>
      </c>
    </row>
    <row r="31" spans="1:7" x14ac:dyDescent="0.25">
      <c r="A31" s="4" t="s">
        <v>223</v>
      </c>
      <c r="B31" s="5" t="b">
        <v>1</v>
      </c>
      <c r="C31" s="4">
        <v>1.1613509950000001</v>
      </c>
      <c r="D31" s="5">
        <v>0.9</v>
      </c>
      <c r="E31" s="4">
        <v>2</v>
      </c>
      <c r="F31" s="5" t="s">
        <v>169</v>
      </c>
      <c r="G31" s="16"/>
    </row>
    <row r="32" spans="1:7" x14ac:dyDescent="0.25">
      <c r="A32" s="4" t="s">
        <v>224</v>
      </c>
      <c r="B32" s="5" t="b">
        <v>1</v>
      </c>
      <c r="C32" s="4">
        <v>1.2401365609999999</v>
      </c>
      <c r="D32" s="5">
        <v>0.9</v>
      </c>
      <c r="E32" s="4">
        <v>2</v>
      </c>
      <c r="F32" s="5" t="s">
        <v>170</v>
      </c>
    </row>
    <row r="33" spans="1:7" x14ac:dyDescent="0.25">
      <c r="A33" s="4" t="s">
        <v>225</v>
      </c>
      <c r="B33" s="5" t="b">
        <v>1</v>
      </c>
      <c r="C33" s="4">
        <v>0.37954819200000001</v>
      </c>
      <c r="D33" s="5">
        <v>0</v>
      </c>
      <c r="E33" s="4">
        <v>0.5</v>
      </c>
      <c r="F33" s="5" t="s">
        <v>171</v>
      </c>
      <c r="G33" s="16"/>
    </row>
    <row r="34" spans="1:7" x14ac:dyDescent="0.25">
      <c r="A34" s="4" t="s">
        <v>226</v>
      </c>
      <c r="B34" s="5" t="b">
        <v>1</v>
      </c>
      <c r="C34" s="4">
        <v>0.40735147599999999</v>
      </c>
      <c r="D34" s="5">
        <v>0</v>
      </c>
      <c r="E34" s="4">
        <v>0.5</v>
      </c>
      <c r="F34" s="5" t="s">
        <v>172</v>
      </c>
    </row>
    <row r="35" spans="1:7" x14ac:dyDescent="0.25">
      <c r="A35" s="4" t="s">
        <v>227</v>
      </c>
      <c r="B35" s="5" t="b">
        <v>1</v>
      </c>
      <c r="C35" s="4">
        <v>2.9512657199999999</v>
      </c>
      <c r="D35" s="5">
        <v>0.9</v>
      </c>
      <c r="E35" s="4">
        <v>3</v>
      </c>
      <c r="F35" s="5" t="s">
        <v>173</v>
      </c>
      <c r="G35" s="16"/>
    </row>
    <row r="36" spans="1:7" x14ac:dyDescent="0.25">
      <c r="A36" s="4" t="s">
        <v>228</v>
      </c>
      <c r="B36" s="5" t="b">
        <v>1</v>
      </c>
      <c r="C36" s="4">
        <v>3</v>
      </c>
      <c r="D36" s="5">
        <v>0.9</v>
      </c>
      <c r="E36" s="4">
        <v>3</v>
      </c>
      <c r="F36" s="5" t="s">
        <v>174</v>
      </c>
    </row>
    <row r="37" spans="1:7" x14ac:dyDescent="0.25">
      <c r="A37" s="4" t="s">
        <v>229</v>
      </c>
      <c r="B37" s="5" t="b">
        <v>1</v>
      </c>
      <c r="C37" s="4">
        <v>2.7345726359999998</v>
      </c>
      <c r="D37" s="5">
        <v>0.9</v>
      </c>
      <c r="E37" s="4">
        <v>3</v>
      </c>
      <c r="F37" s="5" t="s">
        <v>175</v>
      </c>
      <c r="G37" s="16"/>
    </row>
    <row r="38" spans="1:7" x14ac:dyDescent="0.25">
      <c r="A38" s="4" t="s">
        <v>230</v>
      </c>
      <c r="B38" s="5" t="b">
        <v>1</v>
      </c>
      <c r="C38" s="4">
        <v>2.487901752</v>
      </c>
      <c r="D38" s="5">
        <v>0.9</v>
      </c>
      <c r="E38" s="4">
        <v>3</v>
      </c>
      <c r="F38" s="5" t="s">
        <v>176</v>
      </c>
    </row>
    <row r="39" spans="1:7" x14ac:dyDescent="0.25">
      <c r="A39" s="4" t="s">
        <v>231</v>
      </c>
      <c r="B39" s="5" t="b">
        <v>1</v>
      </c>
      <c r="C39" s="4">
        <v>1.3103927230000001</v>
      </c>
      <c r="D39" s="5">
        <v>0.9</v>
      </c>
      <c r="E39" s="4">
        <v>2</v>
      </c>
      <c r="F39" s="5" t="s">
        <v>177</v>
      </c>
      <c r="G39" s="16"/>
    </row>
    <row r="40" spans="1:7" x14ac:dyDescent="0.25">
      <c r="A40" s="4" t="s">
        <v>232</v>
      </c>
      <c r="B40" s="5" t="b">
        <v>1</v>
      </c>
      <c r="C40" s="4">
        <v>1.1355047680000001</v>
      </c>
      <c r="D40" s="5">
        <v>0.9</v>
      </c>
      <c r="E40" s="4">
        <v>2</v>
      </c>
      <c r="F40" s="5" t="s">
        <v>178</v>
      </c>
    </row>
    <row r="41" spans="1:7" x14ac:dyDescent="0.25">
      <c r="A41" s="4" t="s">
        <v>233</v>
      </c>
      <c r="B41" s="5" t="b">
        <v>0</v>
      </c>
      <c r="C41" s="4">
        <v>0.75</v>
      </c>
      <c r="D41" s="5">
        <v>1E-4</v>
      </c>
      <c r="E41" s="4">
        <v>0.99990000000000001</v>
      </c>
      <c r="F41" s="5" t="s">
        <v>179</v>
      </c>
      <c r="G41" s="16"/>
    </row>
    <row r="42" spans="1:7" x14ac:dyDescent="0.25">
      <c r="A42" s="45" t="s">
        <v>254</v>
      </c>
      <c r="B42" s="45" t="b">
        <v>1</v>
      </c>
      <c r="C42" s="45">
        <v>0.233762251</v>
      </c>
      <c r="D42" s="45">
        <v>0</v>
      </c>
      <c r="E42" s="45">
        <v>0.5</v>
      </c>
      <c r="F42" s="45" t="s">
        <v>180</v>
      </c>
    </row>
    <row r="43" spans="1:7" x14ac:dyDescent="0.25">
      <c r="A43" s="45" t="s">
        <v>255</v>
      </c>
      <c r="B43" s="45" t="b">
        <v>1</v>
      </c>
      <c r="C43" s="45">
        <v>0.22976925200000001</v>
      </c>
      <c r="D43" s="45">
        <v>0</v>
      </c>
      <c r="E43" s="45">
        <v>0.4</v>
      </c>
      <c r="F43" s="45" t="s">
        <v>181</v>
      </c>
      <c r="G43" s="16"/>
    </row>
    <row r="44" spans="1:7" x14ac:dyDescent="0.25">
      <c r="A44" s="4" t="s">
        <v>256</v>
      </c>
      <c r="B44" s="5" t="b">
        <v>1</v>
      </c>
      <c r="C44" s="4">
        <v>0.55699400300000002</v>
      </c>
      <c r="D44" s="5">
        <v>0.5</v>
      </c>
      <c r="E44" s="4">
        <v>0.95</v>
      </c>
      <c r="F44" s="5"/>
    </row>
    <row r="45" spans="1:7" x14ac:dyDescent="0.25">
      <c r="A45" s="4" t="s">
        <v>237</v>
      </c>
      <c r="B45" s="5" t="b">
        <v>1</v>
      </c>
      <c r="C45" s="4">
        <v>0.36937789900000001</v>
      </c>
      <c r="D45" s="5">
        <v>0</v>
      </c>
      <c r="E45" s="4">
        <v>0.5</v>
      </c>
      <c r="F45" s="5" t="s">
        <v>182</v>
      </c>
      <c r="G45" s="16"/>
    </row>
    <row r="46" spans="1:7" x14ac:dyDescent="0.25">
      <c r="A46" s="4" t="s">
        <v>238</v>
      </c>
      <c r="B46" s="5" t="b">
        <v>1</v>
      </c>
      <c r="C46" s="4">
        <v>0.22714524</v>
      </c>
      <c r="D46" s="5">
        <v>0</v>
      </c>
      <c r="E46" s="4">
        <v>0.4</v>
      </c>
      <c r="F46" s="5" t="s">
        <v>183</v>
      </c>
    </row>
    <row r="47" spans="1:7" x14ac:dyDescent="0.25">
      <c r="A47" s="4" t="s">
        <v>239</v>
      </c>
      <c r="B47" s="5" t="b">
        <v>1</v>
      </c>
      <c r="C47" s="4">
        <v>0.93464793099999999</v>
      </c>
      <c r="D47" s="5">
        <v>0.5</v>
      </c>
      <c r="E47" s="4">
        <v>0.95</v>
      </c>
      <c r="F47" s="5"/>
      <c r="G47" s="16"/>
    </row>
    <row r="48" spans="1:7" x14ac:dyDescent="0.25">
      <c r="A48" s="4" t="s">
        <v>240</v>
      </c>
      <c r="B48" s="5" t="b">
        <v>1</v>
      </c>
      <c r="C48" s="4">
        <v>0.34695799799999999</v>
      </c>
      <c r="D48" s="5">
        <v>0</v>
      </c>
      <c r="E48" s="4">
        <v>0.5</v>
      </c>
      <c r="F48" s="5" t="s">
        <v>184</v>
      </c>
    </row>
    <row r="49" spans="1:7" x14ac:dyDescent="0.25">
      <c r="A49" s="4" t="s">
        <v>241</v>
      </c>
      <c r="B49" s="5" t="b">
        <v>1</v>
      </c>
      <c r="C49" s="4">
        <v>0.18097142899999999</v>
      </c>
      <c r="D49" s="5">
        <v>0</v>
      </c>
      <c r="E49" s="4">
        <v>0.4</v>
      </c>
      <c r="F49" s="5" t="s">
        <v>185</v>
      </c>
      <c r="G49" s="16"/>
    </row>
    <row r="50" spans="1:7" x14ac:dyDescent="0.25">
      <c r="A50" s="4" t="s">
        <v>242</v>
      </c>
      <c r="B50" s="5" t="b">
        <v>1</v>
      </c>
      <c r="C50" s="4">
        <v>0.76416302800000002</v>
      </c>
      <c r="D50" s="5">
        <v>0.5</v>
      </c>
      <c r="E50" s="4">
        <v>0.95</v>
      </c>
      <c r="F50" s="5"/>
    </row>
    <row r="51" spans="1:7" x14ac:dyDescent="0.25">
      <c r="A51" s="4" t="s">
        <v>243</v>
      </c>
      <c r="B51" s="5" t="b">
        <v>1</v>
      </c>
      <c r="C51" s="4">
        <v>0.25705445199999999</v>
      </c>
      <c r="D51" s="5">
        <v>0</v>
      </c>
      <c r="E51" s="4">
        <v>0.5</v>
      </c>
      <c r="F51" s="5" t="s">
        <v>186</v>
      </c>
      <c r="G51" s="16"/>
    </row>
    <row r="52" spans="1:7" x14ac:dyDescent="0.25">
      <c r="A52" s="4" t="s">
        <v>244</v>
      </c>
      <c r="B52" s="5" t="b">
        <v>1</v>
      </c>
      <c r="C52" s="4">
        <v>0.186705492</v>
      </c>
      <c r="D52" s="5">
        <v>0</v>
      </c>
      <c r="E52" s="4">
        <v>0.4</v>
      </c>
      <c r="F52" s="5" t="s">
        <v>187</v>
      </c>
    </row>
    <row r="53" spans="1:7" x14ac:dyDescent="0.25">
      <c r="A53" s="4" t="s">
        <v>245</v>
      </c>
      <c r="B53" s="5" t="b">
        <v>1</v>
      </c>
      <c r="C53" s="4">
        <v>0.79727224200000002</v>
      </c>
      <c r="D53" s="5">
        <v>0.5</v>
      </c>
      <c r="E53" s="4">
        <v>0.95</v>
      </c>
      <c r="F53" s="5"/>
      <c r="G53" s="16"/>
    </row>
    <row r="54" spans="1:7" x14ac:dyDescent="0.25">
      <c r="A54" s="4" t="s">
        <v>246</v>
      </c>
      <c r="B54" s="5" t="b">
        <v>1</v>
      </c>
      <c r="C54" s="4">
        <v>0.30442089900000002</v>
      </c>
      <c r="D54" s="5">
        <v>0</v>
      </c>
      <c r="E54" s="4">
        <v>0.5</v>
      </c>
      <c r="F54" s="5" t="s">
        <v>188</v>
      </c>
    </row>
    <row r="55" spans="1:7" x14ac:dyDescent="0.25">
      <c r="A55" s="4" t="s">
        <v>247</v>
      </c>
      <c r="B55" s="5" t="b">
        <v>1</v>
      </c>
      <c r="C55" s="4">
        <v>9.2896593E-2</v>
      </c>
      <c r="D55" s="5">
        <v>0</v>
      </c>
      <c r="E55" s="4">
        <v>0.4</v>
      </c>
      <c r="F55" s="5" t="s">
        <v>189</v>
      </c>
      <c r="G55" s="16"/>
    </row>
    <row r="56" spans="1:7" x14ac:dyDescent="0.25">
      <c r="A56" s="4" t="s">
        <v>248</v>
      </c>
      <c r="B56" s="5" t="b">
        <v>1</v>
      </c>
      <c r="C56" s="4">
        <v>0.89936527700000002</v>
      </c>
      <c r="D56" s="5">
        <v>0.5</v>
      </c>
      <c r="E56" s="4">
        <v>0.95</v>
      </c>
      <c r="F56" s="5"/>
    </row>
    <row r="57" spans="1:7" x14ac:dyDescent="0.25">
      <c r="A57" s="4" t="s">
        <v>249</v>
      </c>
      <c r="B57" s="5" t="b">
        <v>1</v>
      </c>
      <c r="C57" s="4">
        <v>0.30590364399999997</v>
      </c>
      <c r="D57" s="5">
        <v>0</v>
      </c>
      <c r="E57" s="4">
        <v>0.5</v>
      </c>
      <c r="F57" s="5" t="s">
        <v>190</v>
      </c>
      <c r="G57" s="16"/>
    </row>
    <row r="58" spans="1:7" x14ac:dyDescent="0.25">
      <c r="A58" s="4" t="s">
        <v>250</v>
      </c>
      <c r="B58" s="5" t="b">
        <v>1</v>
      </c>
      <c r="C58" s="4">
        <v>0.1605249</v>
      </c>
      <c r="D58" s="5">
        <v>0</v>
      </c>
      <c r="E58" s="4">
        <v>0.4</v>
      </c>
      <c r="F58" s="5" t="s">
        <v>191</v>
      </c>
    </row>
    <row r="59" spans="1:7" x14ac:dyDescent="0.25">
      <c r="A59" s="4" t="s">
        <v>251</v>
      </c>
      <c r="B59" s="5" t="b">
        <v>1</v>
      </c>
      <c r="C59" s="4">
        <v>0.72612239499999998</v>
      </c>
      <c r="D59" s="5">
        <v>0.5</v>
      </c>
      <c r="E59" s="4">
        <v>0.95</v>
      </c>
      <c r="F59" s="5"/>
      <c r="G59" s="16"/>
    </row>
    <row r="60" spans="1:7" x14ac:dyDescent="0.25">
      <c r="A60" s="4" t="s">
        <v>194</v>
      </c>
      <c r="B60" s="5" t="b">
        <v>1</v>
      </c>
      <c r="C60" s="4">
        <v>0.415775648</v>
      </c>
      <c r="D60" s="5">
        <v>0</v>
      </c>
      <c r="E60" s="4">
        <v>1</v>
      </c>
      <c r="F60" s="5"/>
    </row>
    <row r="61" spans="1:7" x14ac:dyDescent="0.25">
      <c r="A61" s="4" t="s">
        <v>195</v>
      </c>
      <c r="B61" s="5" t="b">
        <v>1</v>
      </c>
      <c r="C61" s="4">
        <v>0.73502425900000001</v>
      </c>
      <c r="D61" s="5">
        <v>0</v>
      </c>
      <c r="E61" s="4">
        <v>1</v>
      </c>
      <c r="F61" s="5"/>
      <c r="G61" s="16"/>
    </row>
    <row r="62" spans="1:7" x14ac:dyDescent="0.25">
      <c r="A62" s="4" t="s">
        <v>234</v>
      </c>
      <c r="B62" s="5" t="b">
        <v>1</v>
      </c>
      <c r="C62" s="4">
        <v>2002.5202489999999</v>
      </c>
      <c r="D62" s="5">
        <v>1995</v>
      </c>
      <c r="E62" s="4">
        <v>2010</v>
      </c>
      <c r="F62" s="5" t="s">
        <v>253</v>
      </c>
    </row>
    <row r="63" spans="1:7" x14ac:dyDescent="0.25">
      <c r="A63" s="4" t="s">
        <v>235</v>
      </c>
      <c r="B63" s="5" t="b">
        <v>1</v>
      </c>
      <c r="C63" s="4">
        <v>1</v>
      </c>
      <c r="D63" s="5">
        <v>0</v>
      </c>
      <c r="E63" s="4">
        <v>1</v>
      </c>
      <c r="F63" s="5" t="s">
        <v>192</v>
      </c>
      <c r="G63" s="16"/>
    </row>
    <row r="64" spans="1:7" x14ac:dyDescent="0.25">
      <c r="A64" s="4" t="s">
        <v>236</v>
      </c>
      <c r="B64" s="5" t="b">
        <v>1</v>
      </c>
      <c r="C64" s="4">
        <v>2002.9197810000001</v>
      </c>
      <c r="D64" s="5">
        <v>1995</v>
      </c>
      <c r="E64" s="4">
        <v>2012</v>
      </c>
      <c r="F64" s="5" t="s">
        <v>193</v>
      </c>
    </row>
    <row r="65" spans="1:7" x14ac:dyDescent="0.25">
      <c r="A65" s="4"/>
      <c r="B65" s="5" t="s">
        <v>12</v>
      </c>
      <c r="C65" s="4"/>
      <c r="D65" s="5"/>
      <c r="E65" s="4"/>
      <c r="F65" s="5"/>
      <c r="G65" s="16"/>
    </row>
    <row r="66" spans="1:7" x14ac:dyDescent="0.25">
      <c r="A66" s="4"/>
      <c r="B66" s="5" t="s">
        <v>12</v>
      </c>
      <c r="C66" s="4"/>
      <c r="D66" s="5"/>
      <c r="E66" s="4"/>
      <c r="F66" s="5"/>
    </row>
    <row r="67" spans="1:7" x14ac:dyDescent="0.25">
      <c r="A67" s="4"/>
      <c r="B67" s="5" t="s">
        <v>12</v>
      </c>
      <c r="C67" s="4"/>
      <c r="D67" s="5"/>
      <c r="E67" s="4"/>
      <c r="F67" s="5"/>
      <c r="G67" s="16"/>
    </row>
    <row r="68" spans="1:7" x14ac:dyDescent="0.25">
      <c r="A68" s="4"/>
      <c r="B68" s="5" t="s">
        <v>12</v>
      </c>
      <c r="C68" s="4"/>
      <c r="D68" s="5"/>
      <c r="E68" s="4"/>
      <c r="F68" s="5"/>
    </row>
    <row r="69" spans="1:7" x14ac:dyDescent="0.25">
      <c r="A69" s="4"/>
      <c r="B69" s="5" t="s">
        <v>12</v>
      </c>
      <c r="C69" s="4"/>
      <c r="D69" s="5"/>
      <c r="E69" s="4"/>
      <c r="F69" s="5"/>
      <c r="G69" s="16"/>
    </row>
    <row r="70" spans="1:7" x14ac:dyDescent="0.25">
      <c r="A70" s="4"/>
      <c r="B70" s="5" t="s">
        <v>12</v>
      </c>
      <c r="C70" s="4"/>
      <c r="D70" s="5"/>
      <c r="E70" s="4"/>
      <c r="F70" s="5"/>
    </row>
    <row r="71" spans="1:7" x14ac:dyDescent="0.25">
      <c r="A71" s="4"/>
      <c r="B71" s="5" t="s">
        <v>12</v>
      </c>
      <c r="C71" s="4"/>
      <c r="D71" s="5"/>
      <c r="E71" s="4"/>
      <c r="F71" s="5"/>
      <c r="G71" s="16"/>
    </row>
    <row r="72" spans="1:7" x14ac:dyDescent="0.25">
      <c r="A72" s="4"/>
      <c r="B72" s="5" t="s">
        <v>12</v>
      </c>
      <c r="C72" s="4"/>
      <c r="D72" s="5"/>
      <c r="E72" s="4"/>
      <c r="F72" s="5"/>
    </row>
    <row r="73" spans="1:7" x14ac:dyDescent="0.25">
      <c r="A73" s="4"/>
      <c r="B73" s="5" t="s">
        <v>12</v>
      </c>
      <c r="C73" s="4"/>
      <c r="D73" s="5"/>
      <c r="E73" s="4"/>
      <c r="F73" s="5"/>
      <c r="G73" s="16"/>
    </row>
    <row r="74" spans="1:7" x14ac:dyDescent="0.25">
      <c r="A74" s="4"/>
      <c r="B74" s="5" t="s">
        <v>12</v>
      </c>
      <c r="C74" s="4"/>
      <c r="D74" s="5"/>
      <c r="E74" s="4"/>
      <c r="F74" s="5"/>
    </row>
    <row r="75" spans="1:7" x14ac:dyDescent="0.25">
      <c r="A75" s="4"/>
      <c r="B75" s="5" t="s">
        <v>12</v>
      </c>
      <c r="C75" s="4"/>
      <c r="D75" s="5"/>
      <c r="E75" s="4"/>
      <c r="F75" s="5"/>
      <c r="G75" s="16"/>
    </row>
    <row r="76" spans="1:7" x14ac:dyDescent="0.25">
      <c r="A76" s="4"/>
      <c r="B76" s="5" t="s">
        <v>12</v>
      </c>
      <c r="C76" s="4"/>
      <c r="D76" s="5"/>
      <c r="E76" s="4"/>
      <c r="F76" s="5"/>
    </row>
    <row r="77" spans="1:7" x14ac:dyDescent="0.25">
      <c r="A77" s="4"/>
      <c r="B77" s="5" t="s">
        <v>12</v>
      </c>
      <c r="C77" s="4"/>
      <c r="D77" s="5"/>
      <c r="E77" s="4"/>
      <c r="F77" s="5"/>
      <c r="G77" s="16"/>
    </row>
    <row r="78" spans="1:7" x14ac:dyDescent="0.25">
      <c r="A78" s="4"/>
      <c r="B78" s="5" t="s">
        <v>12</v>
      </c>
      <c r="C78" s="4"/>
      <c r="D78" s="5"/>
      <c r="E78" s="4"/>
      <c r="F78" s="5"/>
    </row>
    <row r="79" spans="1:7" x14ac:dyDescent="0.25">
      <c r="A79" s="4"/>
      <c r="B79" s="5" t="s">
        <v>12</v>
      </c>
      <c r="C79" s="4"/>
      <c r="D79" s="5"/>
      <c r="E79" s="4"/>
      <c r="F79" s="5"/>
      <c r="G79" s="16"/>
    </row>
    <row r="80" spans="1:7" x14ac:dyDescent="0.25">
      <c r="A80" s="4"/>
      <c r="B80" s="5" t="s">
        <v>12</v>
      </c>
      <c r="C80" s="4"/>
      <c r="D80" s="5"/>
      <c r="E80" s="4"/>
      <c r="F80" s="5"/>
    </row>
    <row r="81" spans="1:7" x14ac:dyDescent="0.25">
      <c r="A81" s="4"/>
      <c r="B81" s="5" t="s">
        <v>12</v>
      </c>
      <c r="C81" s="4"/>
      <c r="D81" s="5"/>
      <c r="E81" s="4"/>
      <c r="F81" s="5"/>
      <c r="G81" s="16"/>
    </row>
    <row r="82" spans="1:7" x14ac:dyDescent="0.25">
      <c r="A82" s="4"/>
      <c r="B82" s="5" t="s">
        <v>12</v>
      </c>
      <c r="C82" s="4"/>
      <c r="D82" s="5"/>
      <c r="E82" s="4"/>
      <c r="F82" s="5"/>
    </row>
    <row r="83" spans="1:7" x14ac:dyDescent="0.25">
      <c r="A83" s="4"/>
      <c r="B83" s="5" t="s">
        <v>12</v>
      </c>
      <c r="C83" s="4"/>
      <c r="D83" s="5"/>
      <c r="E83" s="4"/>
      <c r="F83" s="5"/>
      <c r="G83" s="16"/>
    </row>
    <row r="84" spans="1:7" x14ac:dyDescent="0.25">
      <c r="A84" s="4"/>
      <c r="B84" s="5" t="s">
        <v>12</v>
      </c>
      <c r="C84" s="4"/>
      <c r="D84" s="5"/>
      <c r="E84" s="4"/>
      <c r="F84" s="5"/>
    </row>
    <row r="85" spans="1:7" x14ac:dyDescent="0.25">
      <c r="A85" s="4"/>
      <c r="B85" s="5" t="s">
        <v>12</v>
      </c>
      <c r="C85" s="4"/>
      <c r="D85" s="5"/>
      <c r="E85" s="4"/>
      <c r="F85" s="5"/>
      <c r="G85" s="16"/>
    </row>
    <row r="86" spans="1:7" x14ac:dyDescent="0.25">
      <c r="A86" s="4"/>
      <c r="B86" s="5" t="s">
        <v>12</v>
      </c>
      <c r="C86" s="4"/>
      <c r="D86" s="5"/>
      <c r="E86" s="4"/>
      <c r="F86" s="5"/>
    </row>
    <row r="87" spans="1:7" x14ac:dyDescent="0.25">
      <c r="A87" s="4"/>
      <c r="B87" s="5" t="s">
        <v>12</v>
      </c>
      <c r="C87" s="4"/>
      <c r="D87" s="5"/>
      <c r="E87" s="4"/>
      <c r="F87" s="5"/>
      <c r="G87" s="16"/>
    </row>
    <row r="88" spans="1:7" x14ac:dyDescent="0.25">
      <c r="A88" s="4"/>
      <c r="B88" s="5" t="s">
        <v>12</v>
      </c>
      <c r="C88" s="4"/>
      <c r="D88" s="5"/>
      <c r="E88" s="4"/>
      <c r="F88" s="5"/>
    </row>
    <row r="89" spans="1:7" x14ac:dyDescent="0.25">
      <c r="A89" s="4"/>
      <c r="B89" s="5" t="s">
        <v>12</v>
      </c>
      <c r="C89" s="4"/>
      <c r="D89" s="5"/>
      <c r="E89" s="4"/>
      <c r="F89" s="5"/>
      <c r="G89" s="16"/>
    </row>
    <row r="90" spans="1:7" x14ac:dyDescent="0.25">
      <c r="A90" s="4"/>
      <c r="B90" s="5" t="s">
        <v>12</v>
      </c>
      <c r="C90" s="4"/>
      <c r="D90" s="5"/>
      <c r="E90" s="4"/>
      <c r="F90" s="5"/>
    </row>
    <row r="91" spans="1:7" x14ac:dyDescent="0.25">
      <c r="A91" s="4"/>
      <c r="B91" s="5" t="s">
        <v>12</v>
      </c>
      <c r="C91" s="4"/>
      <c r="D91" s="5"/>
      <c r="E91" s="4"/>
      <c r="F91" s="5"/>
      <c r="G91" s="16"/>
    </row>
    <row r="92" spans="1:7" x14ac:dyDescent="0.25">
      <c r="A92" s="4"/>
      <c r="B92" s="5" t="s">
        <v>12</v>
      </c>
      <c r="C92" s="4"/>
      <c r="D92" s="5"/>
      <c r="E92" s="4"/>
      <c r="F92" s="5"/>
    </row>
    <row r="93" spans="1:7" x14ac:dyDescent="0.25">
      <c r="A93" s="4"/>
      <c r="B93" s="5" t="s">
        <v>12</v>
      </c>
      <c r="C93" s="4"/>
      <c r="D93" s="5"/>
      <c r="E93" s="4"/>
      <c r="F93" s="5"/>
      <c r="G93" s="16"/>
    </row>
    <row r="94" spans="1:7" x14ac:dyDescent="0.25">
      <c r="A94" s="4"/>
      <c r="B94" s="5" t="s">
        <v>12</v>
      </c>
      <c r="C94" s="4"/>
      <c r="D94" s="5"/>
      <c r="E94" s="4"/>
      <c r="F94" s="5"/>
    </row>
    <row r="95" spans="1:7" x14ac:dyDescent="0.25">
      <c r="A95" s="4"/>
      <c r="B95" s="5" t="s">
        <v>12</v>
      </c>
      <c r="C95" s="4"/>
      <c r="D95" s="5"/>
      <c r="E95" s="4"/>
      <c r="F95" s="5"/>
      <c r="G95" s="16"/>
    </row>
    <row r="96" spans="1:7" x14ac:dyDescent="0.25">
      <c r="A96" s="4"/>
      <c r="B96" s="5" t="s">
        <v>12</v>
      </c>
      <c r="C96" s="4"/>
      <c r="D96" s="5"/>
      <c r="E96" s="4"/>
      <c r="F96" s="5"/>
    </row>
    <row r="97" spans="1:7" x14ac:dyDescent="0.25">
      <c r="A97" s="4"/>
      <c r="B97" s="5" t="s">
        <v>12</v>
      </c>
      <c r="C97" s="4"/>
      <c r="D97" s="5"/>
      <c r="E97" s="4"/>
      <c r="F97" s="5"/>
      <c r="G97" s="16"/>
    </row>
    <row r="98" spans="1:7" x14ac:dyDescent="0.25">
      <c r="A98" s="4"/>
      <c r="B98" s="5" t="s">
        <v>12</v>
      </c>
      <c r="C98" s="4"/>
      <c r="D98" s="5"/>
      <c r="E98" s="4"/>
      <c r="F98" s="5"/>
    </row>
    <row r="99" spans="1:7" x14ac:dyDescent="0.25">
      <c r="A99" s="4"/>
      <c r="B99" s="5" t="s">
        <v>12</v>
      </c>
      <c r="C99" s="4"/>
      <c r="D99" s="5"/>
      <c r="E99" s="4"/>
      <c r="F99" s="5"/>
      <c r="G99" s="16"/>
    </row>
    <row r="100" spans="1:7" x14ac:dyDescent="0.25">
      <c r="A100" s="4"/>
      <c r="B100" s="5" t="s">
        <v>12</v>
      </c>
      <c r="C100" s="4"/>
      <c r="D100" s="5"/>
      <c r="E100" s="4"/>
      <c r="F100" s="5"/>
    </row>
  </sheetData>
  <sortState ref="A2:G64">
    <sortCondition ref="G2:G64"/>
  </sortState>
  <conditionalFormatting sqref="C2:C100">
    <cfRule type="expression" dxfId="12" priority="14">
      <formula>AND(OR(C2 &lt; D2, C2 &gt; E2, C2 = none), A2 &lt;&gt; none)</formula>
    </cfRule>
  </conditionalFormatting>
  <conditionalFormatting sqref="D2:D100">
    <cfRule type="expression" dxfId="11" priority="11">
      <formula>AND(OR(D2 &gt; E2, D2=none), A2 &lt;&gt; none)</formula>
    </cfRule>
  </conditionalFormatting>
  <conditionalFormatting sqref="E2:E100">
    <cfRule type="expression" dxfId="10" priority="9">
      <formula>AND(OR(E2 &lt; D2, E2=none), A2 &lt;&gt; none)</formula>
    </cfRule>
  </conditionalFormatting>
  <conditionalFormatting sqref="B2:B100">
    <cfRule type="expression" dxfId="9" priority="8">
      <formula>AND(B2&lt;&gt;TRUE, B2&lt;&gt;FALSE, A2&lt;&gt;none)</formula>
    </cfRule>
  </conditionalFormatting>
  <dataValidations count="1">
    <dataValidation type="list" allowBlank="1" showInputMessage="1" showErrorMessage="1" sqref="B2:B100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3" t="s">
        <v>21</v>
      </c>
      <c r="B1" s="22"/>
      <c r="C1" t="s">
        <v>28</v>
      </c>
      <c r="F1" s="10" t="s">
        <v>30</v>
      </c>
      <c r="G1" s="2"/>
    </row>
    <row r="2" spans="1:13" x14ac:dyDescent="0.25">
      <c r="A2" s="23" t="s">
        <v>22</v>
      </c>
      <c r="B2" s="22"/>
      <c r="C2" t="s">
        <v>28</v>
      </c>
      <c r="F2" s="11" t="s">
        <v>31</v>
      </c>
    </row>
    <row r="3" spans="1:13" x14ac:dyDescent="0.25">
      <c r="A3" s="23" t="s">
        <v>23</v>
      </c>
      <c r="B3" s="22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3" t="s">
        <v>24</v>
      </c>
      <c r="B4" s="22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D10" sqref="D10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19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6" t="s">
        <v>50</v>
      </c>
      <c r="B3" s="26"/>
      <c r="C3" s="26"/>
      <c r="D3" s="26"/>
      <c r="E3" s="26"/>
      <c r="F3" s="26"/>
      <c r="G3" s="26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2" t="s">
        <v>109</v>
      </c>
      <c r="B8" s="33" t="s">
        <v>147</v>
      </c>
      <c r="C8" s="32" t="s">
        <v>85</v>
      </c>
      <c r="D8" s="33"/>
      <c r="E8" s="32"/>
      <c r="F8" s="33"/>
      <c r="G8" s="32"/>
      <c r="H8" s="33"/>
      <c r="I8" s="32"/>
      <c r="J8" s="33"/>
      <c r="K8" s="32"/>
      <c r="L8" s="33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37" t="s">
        <v>98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4" t="s">
        <v>96</v>
      </c>
      <c r="B10" s="35" t="s">
        <v>95</v>
      </c>
      <c r="C10" s="34" t="s">
        <v>95</v>
      </c>
      <c r="D10" s="35" t="s">
        <v>12</v>
      </c>
      <c r="E10" s="34" t="s">
        <v>12</v>
      </c>
      <c r="F10" s="35" t="s">
        <v>12</v>
      </c>
      <c r="G10" s="34" t="s">
        <v>12</v>
      </c>
      <c r="H10" s="35" t="s">
        <v>12</v>
      </c>
      <c r="I10" s="34" t="s">
        <v>12</v>
      </c>
      <c r="J10" s="35" t="s">
        <v>12</v>
      </c>
      <c r="K10" s="34" t="s">
        <v>12</v>
      </c>
      <c r="L10" s="35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8" t="s">
        <v>46</v>
      </c>
      <c r="B12" s="17"/>
      <c r="C12" s="18" t="s">
        <v>55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4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</row>
    <row r="16" spans="1:25" x14ac:dyDescent="0.25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x14ac:dyDescent="0.25">
      <c r="A17" s="24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x14ac:dyDescent="0.25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25">
      <c r="A19" s="24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 x14ac:dyDescent="0.25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x14ac:dyDescent="0.25">
      <c r="A21" s="24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x14ac:dyDescent="0.25">
      <c r="A23" s="24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x14ac:dyDescent="0.25">
      <c r="A25" s="24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x14ac:dyDescent="0.25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x14ac:dyDescent="0.25">
      <c r="A27" s="24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x14ac:dyDescent="0.25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x14ac:dyDescent="0.25">
      <c r="A29" s="24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</row>
    <row r="30" spans="1:25" x14ac:dyDescent="0.25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</row>
    <row r="31" spans="1:25" x14ac:dyDescent="0.25">
      <c r="A31" s="24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</row>
    <row r="32" spans="1:25" x14ac:dyDescent="0.25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x14ac:dyDescent="0.25">
      <c r="A33" s="24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</row>
    <row r="34" spans="1:25" x14ac:dyDescent="0.25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</sheetData>
  <conditionalFormatting sqref="A10:L10">
    <cfRule type="expression" dxfId="8" priority="3">
      <formula>AND(A8&lt;&gt;none, A8&lt;&gt;select_label, OR(A10=none, A10=select_label))</formula>
    </cfRule>
  </conditionalFormatting>
  <conditionalFormatting sqref="A8:C8 E8:L8">
    <cfRule type="expression" dxfId="7" priority="2">
      <formula>AND(OR(A8=none, A8=select_label), AND(A10&lt;&gt;none, A10&lt;&gt;select_label))</formula>
    </cfRule>
  </conditionalFormatting>
  <conditionalFormatting sqref="D8">
    <cfRule type="expression" dxfId="6" priority="1">
      <formula>AND(OR(D8=Incidence, D8=select_label), AND(D10&lt;&gt;Incidence, D10&lt;&gt;select_label))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E26" sqref="E26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7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1" t="s">
        <v>109</v>
      </c>
      <c r="B7" s="6" t="s">
        <v>71</v>
      </c>
      <c r="C7" s="6" t="s">
        <v>69</v>
      </c>
      <c r="D7" s="6" t="s">
        <v>77</v>
      </c>
      <c r="E7" s="6">
        <v>0.23</v>
      </c>
      <c r="F7" s="6"/>
      <c r="H7" s="40"/>
    </row>
    <row r="8" spans="1:8" x14ac:dyDescent="0.25">
      <c r="A8" s="7" t="s">
        <v>109</v>
      </c>
      <c r="B8" s="7" t="s">
        <v>71</v>
      </c>
      <c r="C8" s="7" t="s">
        <v>68</v>
      </c>
      <c r="D8" s="7" t="s">
        <v>77</v>
      </c>
      <c r="E8" s="7">
        <v>0.23</v>
      </c>
      <c r="F8" s="7"/>
    </row>
    <row r="9" spans="1:8" x14ac:dyDescent="0.25">
      <c r="A9" s="6" t="s">
        <v>85</v>
      </c>
      <c r="B9" s="6" t="s">
        <v>70</v>
      </c>
      <c r="C9" s="6" t="s">
        <v>68</v>
      </c>
      <c r="D9" s="6" t="s">
        <v>77</v>
      </c>
      <c r="E9" s="6">
        <v>0.06</v>
      </c>
      <c r="F9" s="6"/>
    </row>
    <row r="10" spans="1:8" x14ac:dyDescent="0.25">
      <c r="A10" s="7" t="s">
        <v>147</v>
      </c>
      <c r="B10" s="7" t="s">
        <v>70</v>
      </c>
      <c r="C10" s="7" t="s">
        <v>68</v>
      </c>
      <c r="D10" s="7" t="s">
        <v>77</v>
      </c>
      <c r="E10" s="7">
        <v>0.23</v>
      </c>
      <c r="F10" s="7"/>
    </row>
    <row r="11" spans="1:8" x14ac:dyDescent="0.25">
      <c r="A11" s="6"/>
      <c r="B11" s="6"/>
      <c r="C11" s="6"/>
      <c r="D11" s="6"/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28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29" t="s">
        <v>12</v>
      </c>
      <c r="B2" s="29" t="s">
        <v>12</v>
      </c>
      <c r="C2" s="29" t="s">
        <v>12</v>
      </c>
      <c r="D2" s="29" t="s">
        <v>12</v>
      </c>
      <c r="E2" s="29" t="s">
        <v>56</v>
      </c>
      <c r="F2" s="29" t="s">
        <v>12</v>
      </c>
      <c r="G2" s="29" t="s">
        <v>12</v>
      </c>
      <c r="H2" s="29" t="s">
        <v>12</v>
      </c>
      <c r="I2" s="29" t="s">
        <v>12</v>
      </c>
      <c r="J2" s="29" t="s">
        <v>12</v>
      </c>
      <c r="K2" s="29" t="s">
        <v>12</v>
      </c>
    </row>
    <row r="3" spans="1:11" x14ac:dyDescent="0.25">
      <c r="A3" s="30" t="b">
        <v>1</v>
      </c>
      <c r="B3" s="30" t="s">
        <v>14</v>
      </c>
      <c r="C3" s="30" t="s">
        <v>18</v>
      </c>
      <c r="D3" s="30" t="s">
        <v>43</v>
      </c>
      <c r="F3" s="30" t="s">
        <v>70</v>
      </c>
      <c r="G3" s="30" t="s">
        <v>68</v>
      </c>
      <c r="H3" s="30" t="str">
        <f t="array" ref="H3:H14">TRANSPOSE(IF('Observations metadata'!obs_data_channels="","",'Observations metadata'!obs_data_channels))</f>
        <v>Prevalence</v>
      </c>
      <c r="I3" s="30" t="s">
        <v>77</v>
      </c>
      <c r="K3" s="30" t="s">
        <v>95</v>
      </c>
    </row>
    <row r="4" spans="1:11" x14ac:dyDescent="0.25">
      <c r="A4" s="30" t="b">
        <v>0</v>
      </c>
      <c r="B4" s="30" t="s">
        <v>15</v>
      </c>
      <c r="C4" s="30" t="s">
        <v>19</v>
      </c>
      <c r="D4" s="30" t="s">
        <v>44</v>
      </c>
      <c r="F4" s="30" t="s">
        <v>71</v>
      </c>
      <c r="G4" s="30" t="s">
        <v>69</v>
      </c>
      <c r="H4" s="30" t="str">
        <v>OnART</v>
      </c>
      <c r="I4" s="30" t="s">
        <v>78</v>
      </c>
      <c r="K4" s="30" t="s">
        <v>96</v>
      </c>
    </row>
    <row r="5" spans="1:11" x14ac:dyDescent="0.25">
      <c r="B5" s="30" t="s">
        <v>16</v>
      </c>
      <c r="C5" s="30" t="s">
        <v>20</v>
      </c>
      <c r="D5" s="30" t="s">
        <v>45</v>
      </c>
      <c r="H5" s="30" t="str">
        <v>Population</v>
      </c>
    </row>
    <row r="6" spans="1:11" x14ac:dyDescent="0.25">
      <c r="H6" s="30" t="str">
        <v/>
      </c>
    </row>
    <row r="7" spans="1:11" x14ac:dyDescent="0.25">
      <c r="H7" s="30" t="str">
        <v/>
      </c>
    </row>
    <row r="8" spans="1:11" x14ac:dyDescent="0.25">
      <c r="H8" s="30" t="str">
        <v/>
      </c>
    </row>
    <row r="9" spans="1:11" x14ac:dyDescent="0.25">
      <c r="H9" s="30" t="str">
        <v/>
      </c>
    </row>
    <row r="10" spans="1:11" x14ac:dyDescent="0.25">
      <c r="H10" s="30" t="str">
        <v/>
      </c>
    </row>
    <row r="11" spans="1:11" x14ac:dyDescent="0.25">
      <c r="H11" s="30" t="str">
        <v/>
      </c>
    </row>
    <row r="12" spans="1:11" x14ac:dyDescent="0.25">
      <c r="H12" s="30" t="str">
        <v/>
      </c>
    </row>
    <row r="13" spans="1:11" x14ac:dyDescent="0.25">
      <c r="H13" s="30" t="str">
        <v/>
      </c>
    </row>
    <row r="14" spans="1:11" x14ac:dyDescent="0.25">
      <c r="H14" s="30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08"/>
  <sheetViews>
    <sheetView tabSelected="1" topLeftCell="A116" zoomScaleNormal="100" workbookViewId="0">
      <selection activeCell="J143" sqref="J143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109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 t="s">
        <v>114</v>
      </c>
      <c r="C6" s="42"/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109</v>
      </c>
      <c r="F8" s="38" t="s">
        <v>113</v>
      </c>
      <c r="G8" s="38" t="s">
        <v>114</v>
      </c>
      <c r="J8" s="40" t="s">
        <v>120</v>
      </c>
    </row>
    <row r="9" spans="1:12" x14ac:dyDescent="0.25">
      <c r="A9" s="42">
        <v>2003</v>
      </c>
      <c r="B9" s="42" t="s">
        <v>102</v>
      </c>
      <c r="C9" s="42" t="s">
        <v>44</v>
      </c>
      <c r="D9" s="42" t="s">
        <v>121</v>
      </c>
      <c r="E9" s="42">
        <v>0.109716048</v>
      </c>
      <c r="F9" s="42"/>
      <c r="G9" s="42">
        <v>21</v>
      </c>
      <c r="J9" s="40" t="s">
        <v>148</v>
      </c>
    </row>
    <row r="10" spans="1:12" x14ac:dyDescent="0.25">
      <c r="A10" s="41">
        <v>2003</v>
      </c>
      <c r="B10" s="41" t="s">
        <v>103</v>
      </c>
      <c r="C10" s="41" t="s">
        <v>44</v>
      </c>
      <c r="D10" s="41" t="s">
        <v>121</v>
      </c>
      <c r="E10" s="41">
        <v>1.1418711E-2</v>
      </c>
      <c r="F10" s="41"/>
      <c r="G10" s="41">
        <v>62</v>
      </c>
    </row>
    <row r="11" spans="1:12" x14ac:dyDescent="0.25">
      <c r="A11" s="42">
        <v>2003</v>
      </c>
      <c r="B11" s="42" t="s">
        <v>104</v>
      </c>
      <c r="C11" s="42" t="s">
        <v>44</v>
      </c>
      <c r="D11" s="42" t="s">
        <v>121</v>
      </c>
      <c r="E11" s="42">
        <v>0.16632011899999999</v>
      </c>
      <c r="F11" s="42"/>
      <c r="G11" s="42">
        <v>58</v>
      </c>
    </row>
    <row r="12" spans="1:12" x14ac:dyDescent="0.25">
      <c r="A12" s="41">
        <v>2003</v>
      </c>
      <c r="B12" s="41" t="s">
        <v>105</v>
      </c>
      <c r="C12" s="41" t="s">
        <v>44</v>
      </c>
      <c r="D12" s="41" t="s">
        <v>121</v>
      </c>
      <c r="E12" s="41">
        <v>0.18039660900000001</v>
      </c>
      <c r="F12" s="41"/>
      <c r="G12" s="41">
        <v>17</v>
      </c>
    </row>
    <row r="13" spans="1:12" x14ac:dyDescent="0.25">
      <c r="A13" s="42">
        <v>2003</v>
      </c>
      <c r="B13" s="42" t="s">
        <v>106</v>
      </c>
      <c r="C13" s="42" t="s">
        <v>44</v>
      </c>
      <c r="D13" s="42" t="s">
        <v>121</v>
      </c>
      <c r="E13" s="42">
        <v>2.8845979999999999E-3</v>
      </c>
      <c r="F13" s="42"/>
      <c r="G13" s="42">
        <v>160</v>
      </c>
    </row>
    <row r="14" spans="1:12" x14ac:dyDescent="0.25">
      <c r="A14" s="41">
        <v>2003</v>
      </c>
      <c r="B14" s="41" t="s">
        <v>107</v>
      </c>
      <c r="C14" s="41" t="s">
        <v>44</v>
      </c>
      <c r="D14" s="41" t="s">
        <v>121</v>
      </c>
      <c r="E14" s="41">
        <v>0.18236960299999999</v>
      </c>
      <c r="F14" s="41"/>
      <c r="G14" s="41">
        <v>162</v>
      </c>
    </row>
    <row r="15" spans="1:12" x14ac:dyDescent="0.25">
      <c r="A15" s="42">
        <v>2007</v>
      </c>
      <c r="B15" s="42" t="s">
        <v>102</v>
      </c>
      <c r="C15" s="42" t="s">
        <v>44</v>
      </c>
      <c r="D15" s="42" t="s">
        <v>121</v>
      </c>
      <c r="E15" s="42">
        <v>0.251393215</v>
      </c>
      <c r="F15" s="42"/>
      <c r="G15" s="42">
        <v>102</v>
      </c>
    </row>
    <row r="16" spans="1:12" x14ac:dyDescent="0.25">
      <c r="A16" s="41">
        <v>2007</v>
      </c>
      <c r="B16" s="41" t="s">
        <v>103</v>
      </c>
      <c r="C16" s="41" t="s">
        <v>44</v>
      </c>
      <c r="D16" s="41" t="s">
        <v>121</v>
      </c>
      <c r="E16" s="41">
        <v>4.4461964999999999E-2</v>
      </c>
      <c r="F16" s="41"/>
      <c r="G16" s="41">
        <v>391</v>
      </c>
    </row>
    <row r="17" spans="1:7" x14ac:dyDescent="0.25">
      <c r="A17" s="42">
        <v>2007</v>
      </c>
      <c r="B17" s="42" t="s">
        <v>104</v>
      </c>
      <c r="C17" s="42" t="s">
        <v>44</v>
      </c>
      <c r="D17" s="42" t="s">
        <v>121</v>
      </c>
      <c r="E17" s="42">
        <v>0.11390465900000001</v>
      </c>
      <c r="F17" s="42"/>
      <c r="G17" s="42">
        <v>125</v>
      </c>
    </row>
    <row r="18" spans="1:7" x14ac:dyDescent="0.25">
      <c r="A18" s="41">
        <v>2007</v>
      </c>
      <c r="B18" s="41" t="s">
        <v>105</v>
      </c>
      <c r="C18" s="41" t="s">
        <v>44</v>
      </c>
      <c r="D18" s="41" t="s">
        <v>121</v>
      </c>
      <c r="E18" s="41">
        <v>0.16852193500000001</v>
      </c>
      <c r="F18" s="41"/>
      <c r="G18" s="41">
        <v>103</v>
      </c>
    </row>
    <row r="19" spans="1:7" x14ac:dyDescent="0.25">
      <c r="A19" s="42">
        <v>2007</v>
      </c>
      <c r="B19" s="42" t="s">
        <v>107</v>
      </c>
      <c r="C19" s="42" t="s">
        <v>44</v>
      </c>
      <c r="D19" s="42" t="s">
        <v>121</v>
      </c>
      <c r="E19" s="42">
        <v>0.144450784</v>
      </c>
      <c r="F19" s="42"/>
      <c r="G19" s="42">
        <v>151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121</v>
      </c>
      <c r="E20" s="41">
        <v>0.17366570200000001</v>
      </c>
      <c r="F20" s="41"/>
      <c r="G20" s="41">
        <v>84</v>
      </c>
    </row>
    <row r="21" spans="1:7" x14ac:dyDescent="0.25">
      <c r="A21" s="42">
        <v>2009</v>
      </c>
      <c r="B21" s="42" t="s">
        <v>103</v>
      </c>
      <c r="C21" s="42" t="s">
        <v>44</v>
      </c>
      <c r="D21" s="42" t="s">
        <v>121</v>
      </c>
      <c r="E21" s="42">
        <v>3.2975723999999998E-2</v>
      </c>
      <c r="F21" s="42"/>
      <c r="G21" s="42">
        <v>120</v>
      </c>
    </row>
    <row r="22" spans="1:7" x14ac:dyDescent="0.25">
      <c r="A22" s="41">
        <v>2009</v>
      </c>
      <c r="B22" s="41" t="s">
        <v>104</v>
      </c>
      <c r="C22" s="41" t="s">
        <v>44</v>
      </c>
      <c r="D22" s="41" t="s">
        <v>121</v>
      </c>
      <c r="E22" s="41">
        <v>0.110858399</v>
      </c>
      <c r="F22" s="41"/>
      <c r="G22" s="41">
        <v>74</v>
      </c>
    </row>
    <row r="23" spans="1:7" x14ac:dyDescent="0.25">
      <c r="A23" s="42">
        <v>2009</v>
      </c>
      <c r="B23" s="42" t="s">
        <v>105</v>
      </c>
      <c r="C23" s="42" t="s">
        <v>44</v>
      </c>
      <c r="D23" s="42" t="s">
        <v>121</v>
      </c>
      <c r="E23" s="42">
        <v>0.192257979</v>
      </c>
      <c r="F23" s="42"/>
      <c r="G23" s="42">
        <v>57</v>
      </c>
    </row>
    <row r="24" spans="1:7" x14ac:dyDescent="0.25">
      <c r="A24" s="41">
        <v>2009</v>
      </c>
      <c r="B24" s="41" t="s">
        <v>106</v>
      </c>
      <c r="C24" s="41" t="s">
        <v>44</v>
      </c>
      <c r="D24" s="41" t="s">
        <v>121</v>
      </c>
      <c r="E24" s="41">
        <v>2.3374447E-2</v>
      </c>
      <c r="F24" s="41"/>
      <c r="G24" s="41">
        <v>58</v>
      </c>
    </row>
    <row r="25" spans="1:7" x14ac:dyDescent="0.25">
      <c r="A25" s="42">
        <v>2009</v>
      </c>
      <c r="B25" s="42" t="s">
        <v>107</v>
      </c>
      <c r="C25" s="42" t="s">
        <v>44</v>
      </c>
      <c r="D25" s="42" t="s">
        <v>121</v>
      </c>
      <c r="E25" s="42">
        <v>0.15262638000000001</v>
      </c>
      <c r="F25" s="42"/>
      <c r="G25" s="42">
        <v>241</v>
      </c>
    </row>
    <row r="26" spans="1:7" x14ac:dyDescent="0.25">
      <c r="A26" s="41">
        <v>2012</v>
      </c>
      <c r="B26" s="41" t="s">
        <v>102</v>
      </c>
      <c r="C26" s="41" t="s">
        <v>44</v>
      </c>
      <c r="D26" s="41" t="s">
        <v>121</v>
      </c>
      <c r="E26" s="41">
        <v>0.22170241399999999</v>
      </c>
      <c r="F26" s="41"/>
      <c r="G26" s="41">
        <v>135</v>
      </c>
    </row>
    <row r="27" spans="1:7" x14ac:dyDescent="0.25">
      <c r="A27" s="42">
        <v>2012</v>
      </c>
      <c r="B27" s="42" t="s">
        <v>103</v>
      </c>
      <c r="C27" s="42" t="s">
        <v>44</v>
      </c>
      <c r="D27" s="42" t="s">
        <v>121</v>
      </c>
      <c r="E27" s="42">
        <v>3.4647574E-2</v>
      </c>
      <c r="F27" s="42"/>
      <c r="G27" s="42">
        <v>134</v>
      </c>
    </row>
    <row r="28" spans="1:7" x14ac:dyDescent="0.25">
      <c r="A28" s="41">
        <v>2012</v>
      </c>
      <c r="B28" s="41" t="s">
        <v>104</v>
      </c>
      <c r="C28" s="41" t="s">
        <v>44</v>
      </c>
      <c r="D28" s="41" t="s">
        <v>121</v>
      </c>
      <c r="E28" s="41">
        <v>0.194016562</v>
      </c>
      <c r="F28" s="41"/>
      <c r="G28" s="41">
        <v>67</v>
      </c>
    </row>
    <row r="29" spans="1:7" x14ac:dyDescent="0.25">
      <c r="A29" s="42">
        <v>2012</v>
      </c>
      <c r="B29" s="42" t="s">
        <v>105</v>
      </c>
      <c r="C29" s="42" t="s">
        <v>44</v>
      </c>
      <c r="D29" s="42" t="s">
        <v>121</v>
      </c>
      <c r="E29" s="42">
        <v>0.14350782500000001</v>
      </c>
      <c r="F29" s="42"/>
      <c r="G29" s="42">
        <v>63</v>
      </c>
    </row>
    <row r="30" spans="1:7" x14ac:dyDescent="0.25">
      <c r="A30" s="41">
        <v>2012</v>
      </c>
      <c r="B30" s="41" t="s">
        <v>106</v>
      </c>
      <c r="C30" s="41" t="s">
        <v>44</v>
      </c>
      <c r="D30" s="41" t="s">
        <v>121</v>
      </c>
      <c r="E30" s="41">
        <v>4.1869523999999998E-2</v>
      </c>
      <c r="F30" s="41"/>
      <c r="G30" s="41">
        <v>110</v>
      </c>
    </row>
    <row r="31" spans="1:7" x14ac:dyDescent="0.25">
      <c r="A31" s="42">
        <v>2012</v>
      </c>
      <c r="B31" s="42" t="s">
        <v>107</v>
      </c>
      <c r="C31" s="42" t="s">
        <v>44</v>
      </c>
      <c r="D31" s="42" t="s">
        <v>121</v>
      </c>
      <c r="E31" s="42">
        <v>0.25960645399999999</v>
      </c>
      <c r="F31" s="42"/>
      <c r="G31" s="42">
        <v>97</v>
      </c>
    </row>
    <row r="32" spans="1:7" x14ac:dyDescent="0.25">
      <c r="A32" s="41">
        <v>2003</v>
      </c>
      <c r="B32" s="41" t="s">
        <v>102</v>
      </c>
      <c r="C32" s="41" t="s">
        <v>43</v>
      </c>
      <c r="D32" s="41" t="s">
        <v>121</v>
      </c>
      <c r="E32" s="41">
        <v>0.24576785500000001</v>
      </c>
      <c r="F32" s="41"/>
      <c r="G32" s="41">
        <v>28</v>
      </c>
    </row>
    <row r="33" spans="1:7" x14ac:dyDescent="0.25">
      <c r="A33" s="42">
        <v>2003</v>
      </c>
      <c r="B33" s="42" t="s">
        <v>103</v>
      </c>
      <c r="C33" s="42" t="s">
        <v>43</v>
      </c>
      <c r="D33" s="42" t="s">
        <v>121</v>
      </c>
      <c r="E33" s="42">
        <v>8.5311851999999994E-2</v>
      </c>
      <c r="F33" s="42"/>
      <c r="G33" s="42">
        <v>111</v>
      </c>
    </row>
    <row r="34" spans="1:7" x14ac:dyDescent="0.25">
      <c r="A34" s="41">
        <v>2003</v>
      </c>
      <c r="B34" s="41" t="s">
        <v>104</v>
      </c>
      <c r="C34" s="41" t="s">
        <v>43</v>
      </c>
      <c r="D34" s="41" t="s">
        <v>121</v>
      </c>
      <c r="E34" s="41">
        <v>0.19136194800000003</v>
      </c>
      <c r="F34" s="41"/>
      <c r="G34" s="41">
        <v>63</v>
      </c>
    </row>
    <row r="35" spans="1:7" x14ac:dyDescent="0.25">
      <c r="A35" s="42">
        <v>2003</v>
      </c>
      <c r="B35" s="42" t="s">
        <v>105</v>
      </c>
      <c r="C35" s="42" t="s">
        <v>43</v>
      </c>
      <c r="D35" s="42" t="s">
        <v>121</v>
      </c>
      <c r="E35" s="42">
        <v>0.186033218</v>
      </c>
      <c r="F35" s="42"/>
      <c r="G35" s="42">
        <v>24</v>
      </c>
    </row>
    <row r="36" spans="1:7" x14ac:dyDescent="0.25">
      <c r="A36" s="41">
        <v>2003</v>
      </c>
      <c r="B36" s="41" t="s">
        <v>106</v>
      </c>
      <c r="C36" s="41" t="s">
        <v>43</v>
      </c>
      <c r="D36" s="41" t="s">
        <v>121</v>
      </c>
      <c r="E36" s="41">
        <v>7.4182026999999998E-2</v>
      </c>
      <c r="F36" s="41"/>
      <c r="G36" s="41">
        <v>31</v>
      </c>
    </row>
    <row r="37" spans="1:7" x14ac:dyDescent="0.25">
      <c r="A37" s="42">
        <v>2003</v>
      </c>
      <c r="B37" s="42" t="s">
        <v>107</v>
      </c>
      <c r="C37" s="42" t="s">
        <v>43</v>
      </c>
      <c r="D37" s="42" t="s">
        <v>121</v>
      </c>
      <c r="E37" s="42">
        <v>0.24235642099999999</v>
      </c>
      <c r="F37" s="42"/>
      <c r="G37" s="42">
        <v>72</v>
      </c>
    </row>
    <row r="38" spans="1:7" x14ac:dyDescent="0.25">
      <c r="A38" s="41">
        <v>2007</v>
      </c>
      <c r="B38" s="41" t="s">
        <v>102</v>
      </c>
      <c r="C38" s="41" t="s">
        <v>43</v>
      </c>
      <c r="D38" s="41" t="s">
        <v>121</v>
      </c>
      <c r="E38" s="41">
        <v>0.32590556300000001</v>
      </c>
      <c r="F38" s="41"/>
      <c r="G38" s="41">
        <v>457</v>
      </c>
    </row>
    <row r="39" spans="1:7" x14ac:dyDescent="0.25">
      <c r="A39" s="42">
        <v>2007</v>
      </c>
      <c r="B39" s="42" t="s">
        <v>103</v>
      </c>
      <c r="C39" s="42" t="s">
        <v>43</v>
      </c>
      <c r="D39" s="42" t="s">
        <v>121</v>
      </c>
      <c r="E39" s="42">
        <v>6.9307524999999995E-2</v>
      </c>
      <c r="F39" s="42"/>
      <c r="G39" s="42">
        <v>542</v>
      </c>
    </row>
    <row r="40" spans="1:7" x14ac:dyDescent="0.25">
      <c r="A40" s="41">
        <v>2007</v>
      </c>
      <c r="B40" s="41" t="s">
        <v>104</v>
      </c>
      <c r="C40" s="41" t="s">
        <v>43</v>
      </c>
      <c r="D40" s="41" t="s">
        <v>121</v>
      </c>
      <c r="E40" s="41">
        <v>0.18474095699999998</v>
      </c>
      <c r="F40" s="41"/>
      <c r="G40" s="41">
        <v>91</v>
      </c>
    </row>
    <row r="41" spans="1:7" x14ac:dyDescent="0.25">
      <c r="A41" s="42">
        <v>2007</v>
      </c>
      <c r="B41" s="42" t="s">
        <v>105</v>
      </c>
      <c r="C41" s="42" t="s">
        <v>43</v>
      </c>
      <c r="D41" s="42" t="s">
        <v>121</v>
      </c>
      <c r="E41" s="42">
        <v>0.21814567100000001</v>
      </c>
      <c r="F41" s="42"/>
      <c r="G41" s="42">
        <v>118</v>
      </c>
    </row>
    <row r="42" spans="1:7" x14ac:dyDescent="0.25">
      <c r="A42" s="41">
        <v>2007</v>
      </c>
      <c r="B42" s="41" t="s">
        <v>107</v>
      </c>
      <c r="C42" s="41" t="s">
        <v>43</v>
      </c>
      <c r="D42" s="41" t="s">
        <v>121</v>
      </c>
      <c r="E42" s="41">
        <v>0.21299980600000001</v>
      </c>
      <c r="F42" s="41"/>
      <c r="G42" s="41">
        <v>454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121</v>
      </c>
      <c r="E43" s="42">
        <v>0.25243051799999999</v>
      </c>
      <c r="F43" s="42"/>
      <c r="G43" s="42">
        <v>134</v>
      </c>
    </row>
    <row r="44" spans="1:7" x14ac:dyDescent="0.25">
      <c r="A44" s="41">
        <v>2009</v>
      </c>
      <c r="B44" s="41" t="s">
        <v>103</v>
      </c>
      <c r="C44" s="41" t="s">
        <v>43</v>
      </c>
      <c r="D44" s="41" t="s">
        <v>121</v>
      </c>
      <c r="E44" s="41">
        <v>5.7254453999999996E-2</v>
      </c>
      <c r="F44" s="41"/>
      <c r="G44" s="41">
        <v>95</v>
      </c>
    </row>
    <row r="45" spans="1:7" x14ac:dyDescent="0.25">
      <c r="A45" s="42">
        <v>2009</v>
      </c>
      <c r="B45" s="42" t="s">
        <v>104</v>
      </c>
      <c r="C45" s="42" t="s">
        <v>43</v>
      </c>
      <c r="D45" s="42" t="s">
        <v>121</v>
      </c>
      <c r="E45" s="42">
        <v>0.18104557499999999</v>
      </c>
      <c r="F45" s="42"/>
      <c r="G45" s="42">
        <v>125</v>
      </c>
    </row>
    <row r="46" spans="1:7" x14ac:dyDescent="0.25">
      <c r="A46" s="41">
        <v>2009</v>
      </c>
      <c r="B46" s="41" t="s">
        <v>105</v>
      </c>
      <c r="C46" s="41" t="s">
        <v>43</v>
      </c>
      <c r="D46" s="41" t="s">
        <v>121</v>
      </c>
      <c r="E46" s="41">
        <v>0.22276896400000001</v>
      </c>
      <c r="F46" s="41"/>
      <c r="G46" s="41">
        <v>311</v>
      </c>
    </row>
    <row r="47" spans="1:7" x14ac:dyDescent="0.25">
      <c r="A47" s="42">
        <v>2009</v>
      </c>
      <c r="B47" s="42" t="s">
        <v>106</v>
      </c>
      <c r="C47" s="42" t="s">
        <v>43</v>
      </c>
      <c r="D47" s="42" t="s">
        <v>121</v>
      </c>
      <c r="E47" s="42">
        <v>5.4351446999999997E-2</v>
      </c>
      <c r="F47" s="42"/>
      <c r="G47" s="42">
        <v>90</v>
      </c>
    </row>
    <row r="48" spans="1:7" x14ac:dyDescent="0.25">
      <c r="A48" s="41">
        <v>2009</v>
      </c>
      <c r="B48" s="41" t="s">
        <v>107</v>
      </c>
      <c r="C48" s="41" t="s">
        <v>43</v>
      </c>
      <c r="D48" s="41" t="s">
        <v>121</v>
      </c>
      <c r="E48" s="41">
        <v>0.19213260999999998</v>
      </c>
      <c r="F48" s="41"/>
      <c r="G48" s="41">
        <v>43</v>
      </c>
    </row>
    <row r="49" spans="1:7" x14ac:dyDescent="0.25">
      <c r="A49" s="42">
        <v>2012</v>
      </c>
      <c r="B49" s="42" t="s">
        <v>102</v>
      </c>
      <c r="C49" s="42" t="s">
        <v>43</v>
      </c>
      <c r="D49" s="42" t="s">
        <v>121</v>
      </c>
      <c r="E49" s="42">
        <v>0.27868743000000001</v>
      </c>
      <c r="F49" s="42"/>
      <c r="G49" s="42">
        <v>223</v>
      </c>
    </row>
    <row r="50" spans="1:7" x14ac:dyDescent="0.25">
      <c r="A50" s="41">
        <v>2012</v>
      </c>
      <c r="B50" s="41" t="s">
        <v>103</v>
      </c>
      <c r="C50" s="41" t="s">
        <v>43</v>
      </c>
      <c r="D50" s="41" t="s">
        <v>121</v>
      </c>
      <c r="E50" s="41">
        <v>3.6778805999999997E-2</v>
      </c>
      <c r="F50" s="41"/>
      <c r="G50" s="41">
        <v>215</v>
      </c>
    </row>
    <row r="51" spans="1:7" x14ac:dyDescent="0.25">
      <c r="A51" s="42">
        <v>2012</v>
      </c>
      <c r="B51" s="42" t="s">
        <v>104</v>
      </c>
      <c r="C51" s="42" t="s">
        <v>43</v>
      </c>
      <c r="D51" s="42" t="s">
        <v>121</v>
      </c>
      <c r="E51" s="42">
        <v>0.20224514599999999</v>
      </c>
      <c r="F51" s="42"/>
      <c r="G51" s="42">
        <v>415</v>
      </c>
    </row>
    <row r="52" spans="1:7" x14ac:dyDescent="0.25">
      <c r="A52" s="41">
        <v>2012</v>
      </c>
      <c r="B52" s="41" t="s">
        <v>105</v>
      </c>
      <c r="C52" s="41" t="s">
        <v>43</v>
      </c>
      <c r="D52" s="41" t="s">
        <v>121</v>
      </c>
      <c r="E52" s="41">
        <v>0.19247608599999999</v>
      </c>
      <c r="F52" s="41"/>
      <c r="G52" s="41">
        <v>43</v>
      </c>
    </row>
    <row r="53" spans="1:7" x14ac:dyDescent="0.25">
      <c r="A53" s="42">
        <v>2012</v>
      </c>
      <c r="B53" s="42" t="s">
        <v>106</v>
      </c>
      <c r="C53" s="42" t="s">
        <v>43</v>
      </c>
      <c r="D53" s="42" t="s">
        <v>121</v>
      </c>
      <c r="E53" s="42">
        <v>0.104474759</v>
      </c>
      <c r="F53" s="42"/>
      <c r="G53" s="42">
        <v>303</v>
      </c>
    </row>
    <row r="54" spans="1:7" x14ac:dyDescent="0.25">
      <c r="A54" s="41">
        <v>2012</v>
      </c>
      <c r="B54" s="41" t="s">
        <v>107</v>
      </c>
      <c r="C54" s="41" t="s">
        <v>43</v>
      </c>
      <c r="D54" s="41" t="s">
        <v>121</v>
      </c>
      <c r="E54" s="41">
        <v>0.29901491000000002</v>
      </c>
      <c r="F54" s="41"/>
      <c r="G54" s="41">
        <v>105</v>
      </c>
    </row>
    <row r="55" spans="1:7" x14ac:dyDescent="0.25">
      <c r="A55" s="42">
        <v>2003</v>
      </c>
      <c r="B55" s="42" t="s">
        <v>122</v>
      </c>
      <c r="C55" s="42" t="s">
        <v>44</v>
      </c>
      <c r="D55" s="42" t="s">
        <v>123</v>
      </c>
      <c r="E55" s="42">
        <v>1.4798730000000003E-3</v>
      </c>
      <c r="F55" s="42"/>
      <c r="G55" s="42">
        <v>248</v>
      </c>
    </row>
    <row r="56" spans="1:7" x14ac:dyDescent="0.25">
      <c r="A56" s="41">
        <v>2003</v>
      </c>
      <c r="B56" s="41" t="s">
        <v>122</v>
      </c>
      <c r="C56" s="41" t="s">
        <v>44</v>
      </c>
      <c r="D56" s="41" t="s">
        <v>124</v>
      </c>
      <c r="E56" s="41">
        <v>5.6208226999999999E-2</v>
      </c>
      <c r="F56" s="41"/>
      <c r="G56" s="41">
        <v>35</v>
      </c>
    </row>
    <row r="57" spans="1:7" x14ac:dyDescent="0.25">
      <c r="A57" s="42">
        <v>2003</v>
      </c>
      <c r="B57" s="42" t="s">
        <v>122</v>
      </c>
      <c r="C57" s="42" t="s">
        <v>44</v>
      </c>
      <c r="D57" s="42" t="s">
        <v>125</v>
      </c>
      <c r="E57" s="42">
        <v>0.24292621</v>
      </c>
      <c r="F57" s="42"/>
      <c r="G57" s="42">
        <v>30</v>
      </c>
    </row>
    <row r="58" spans="1:7" x14ac:dyDescent="0.25">
      <c r="A58" s="41">
        <v>2003</v>
      </c>
      <c r="B58" s="41" t="s">
        <v>122</v>
      </c>
      <c r="C58" s="41" t="s">
        <v>44</v>
      </c>
      <c r="D58" s="41" t="s">
        <v>126</v>
      </c>
      <c r="E58" s="41">
        <v>0.184026882</v>
      </c>
      <c r="F58" s="41"/>
      <c r="G58" s="41">
        <v>16</v>
      </c>
    </row>
    <row r="59" spans="1:7" x14ac:dyDescent="0.25">
      <c r="A59" s="42">
        <v>2003</v>
      </c>
      <c r="B59" s="42" t="s">
        <v>122</v>
      </c>
      <c r="C59" s="42" t="s">
        <v>44</v>
      </c>
      <c r="D59" s="42" t="s">
        <v>127</v>
      </c>
      <c r="E59" s="42">
        <v>0.206358498</v>
      </c>
      <c r="F59" s="42"/>
      <c r="G59" s="42">
        <v>19</v>
      </c>
    </row>
    <row r="60" spans="1:7" x14ac:dyDescent="0.25">
      <c r="A60" s="41">
        <v>2003</v>
      </c>
      <c r="B60" s="41" t="s">
        <v>122</v>
      </c>
      <c r="C60" s="41" t="s">
        <v>44</v>
      </c>
      <c r="D60" s="41" t="s">
        <v>128</v>
      </c>
      <c r="E60" s="41">
        <v>0.25329930499999997</v>
      </c>
      <c r="F60" s="41"/>
      <c r="G60" s="41">
        <v>21</v>
      </c>
    </row>
    <row r="61" spans="1:7" x14ac:dyDescent="0.25">
      <c r="A61" s="42">
        <v>2003</v>
      </c>
      <c r="B61" s="42" t="s">
        <v>122</v>
      </c>
      <c r="C61" s="42" t="s">
        <v>44</v>
      </c>
      <c r="D61" s="42" t="s">
        <v>129</v>
      </c>
      <c r="E61" s="42">
        <v>0.16236002299999999</v>
      </c>
      <c r="F61" s="42"/>
      <c r="G61" s="42">
        <v>17</v>
      </c>
    </row>
    <row r="62" spans="1:7" x14ac:dyDescent="0.25">
      <c r="A62" s="41">
        <v>2003</v>
      </c>
      <c r="B62" s="41" t="s">
        <v>122</v>
      </c>
      <c r="C62" s="41" t="s">
        <v>44</v>
      </c>
      <c r="D62" s="41" t="s">
        <v>130</v>
      </c>
      <c r="E62" s="41">
        <v>0.21490200500000001</v>
      </c>
      <c r="F62" s="41"/>
      <c r="G62" s="41">
        <v>17</v>
      </c>
    </row>
    <row r="63" spans="1:7" x14ac:dyDescent="0.25">
      <c r="A63" s="42">
        <v>2007</v>
      </c>
      <c r="B63" s="42" t="s">
        <v>122</v>
      </c>
      <c r="C63" s="42" t="s">
        <v>44</v>
      </c>
      <c r="D63" s="42" t="s">
        <v>123</v>
      </c>
      <c r="E63" s="42">
        <v>1.2122468000000003E-2</v>
      </c>
      <c r="F63" s="42"/>
      <c r="G63" s="42">
        <v>135</v>
      </c>
    </row>
    <row r="64" spans="1:7" x14ac:dyDescent="0.25">
      <c r="A64" s="41">
        <v>2007</v>
      </c>
      <c r="B64" s="41" t="s">
        <v>122</v>
      </c>
      <c r="C64" s="41" t="s">
        <v>44</v>
      </c>
      <c r="D64" s="41" t="s">
        <v>124</v>
      </c>
      <c r="E64" s="41">
        <v>2.5707499000000002E-2</v>
      </c>
      <c r="F64" s="41"/>
      <c r="G64" s="41">
        <v>152</v>
      </c>
    </row>
    <row r="65" spans="1:7" x14ac:dyDescent="0.25">
      <c r="A65" s="42">
        <v>2007</v>
      </c>
      <c r="B65" s="42" t="s">
        <v>122</v>
      </c>
      <c r="C65" s="42" t="s">
        <v>44</v>
      </c>
      <c r="D65" s="42" t="s">
        <v>125</v>
      </c>
      <c r="E65" s="42">
        <v>0.19558351400000004</v>
      </c>
      <c r="F65" s="42"/>
      <c r="G65" s="42">
        <v>53</v>
      </c>
    </row>
    <row r="66" spans="1:7" x14ac:dyDescent="0.25">
      <c r="A66" s="41">
        <v>2007</v>
      </c>
      <c r="B66" s="41" t="s">
        <v>122</v>
      </c>
      <c r="C66" s="41" t="s">
        <v>44</v>
      </c>
      <c r="D66" s="41" t="s">
        <v>126</v>
      </c>
      <c r="E66" s="41">
        <v>0.25776901800000002</v>
      </c>
      <c r="F66" s="41"/>
      <c r="G66" s="41">
        <v>60</v>
      </c>
    </row>
    <row r="67" spans="1:7" x14ac:dyDescent="0.25">
      <c r="A67" s="42">
        <v>2007</v>
      </c>
      <c r="B67" s="42" t="s">
        <v>122</v>
      </c>
      <c r="C67" s="42" t="s">
        <v>44</v>
      </c>
      <c r="D67" s="42" t="s">
        <v>127</v>
      </c>
      <c r="E67" s="42">
        <v>0.23836532399999999</v>
      </c>
      <c r="F67" s="42"/>
      <c r="G67" s="42">
        <v>41</v>
      </c>
    </row>
    <row r="68" spans="1:7" x14ac:dyDescent="0.25">
      <c r="A68" s="41">
        <v>2007</v>
      </c>
      <c r="B68" s="41" t="s">
        <v>122</v>
      </c>
      <c r="C68" s="41" t="s">
        <v>44</v>
      </c>
      <c r="D68" s="41" t="s">
        <v>128</v>
      </c>
      <c r="E68" s="41">
        <v>0.202433628</v>
      </c>
      <c r="F68" s="41"/>
      <c r="G68" s="41">
        <v>43</v>
      </c>
    </row>
    <row r="69" spans="1:7" x14ac:dyDescent="0.25">
      <c r="A69" s="42">
        <v>2007</v>
      </c>
      <c r="B69" s="42" t="s">
        <v>122</v>
      </c>
      <c r="C69" s="42" t="s">
        <v>44</v>
      </c>
      <c r="D69" s="42" t="s">
        <v>129</v>
      </c>
      <c r="E69" s="42">
        <v>0.21027796300000001</v>
      </c>
      <c r="F69" s="42"/>
      <c r="G69" s="42">
        <v>50</v>
      </c>
    </row>
    <row r="70" spans="1:7" x14ac:dyDescent="0.25">
      <c r="A70" s="41">
        <v>2007</v>
      </c>
      <c r="B70" s="41" t="s">
        <v>122</v>
      </c>
      <c r="C70" s="41" t="s">
        <v>44</v>
      </c>
      <c r="D70" s="41" t="s">
        <v>130</v>
      </c>
      <c r="E70" s="41">
        <v>0.18344428800000004</v>
      </c>
      <c r="F70" s="41"/>
      <c r="G70" s="41">
        <v>43</v>
      </c>
    </row>
    <row r="71" spans="1:7" x14ac:dyDescent="0.25">
      <c r="A71" s="42">
        <v>2008</v>
      </c>
      <c r="B71" s="42" t="s">
        <v>122</v>
      </c>
      <c r="C71" s="42" t="s">
        <v>44</v>
      </c>
      <c r="D71" s="42" t="s">
        <v>123</v>
      </c>
      <c r="E71" s="42">
        <v>1.8393629000000002E-2</v>
      </c>
      <c r="F71" s="42"/>
      <c r="G71" s="42">
        <v>63</v>
      </c>
    </row>
    <row r="72" spans="1:7" x14ac:dyDescent="0.25">
      <c r="A72" s="41">
        <v>2008</v>
      </c>
      <c r="B72" s="41" t="s">
        <v>122</v>
      </c>
      <c r="C72" s="41" t="s">
        <v>44</v>
      </c>
      <c r="D72" s="41" t="s">
        <v>124</v>
      </c>
      <c r="E72" s="41">
        <v>5.7821148999999995E-2</v>
      </c>
      <c r="F72" s="41"/>
      <c r="G72" s="41">
        <v>37</v>
      </c>
    </row>
    <row r="73" spans="1:7" x14ac:dyDescent="0.25">
      <c r="A73" s="42">
        <v>2008</v>
      </c>
      <c r="B73" s="42" t="s">
        <v>122</v>
      </c>
      <c r="C73" s="42" t="s">
        <v>44</v>
      </c>
      <c r="D73" s="42" t="s">
        <v>125</v>
      </c>
      <c r="E73" s="42">
        <v>0.24498690500000003</v>
      </c>
      <c r="F73" s="42"/>
      <c r="G73" s="42">
        <v>55</v>
      </c>
    </row>
    <row r="74" spans="1:7" x14ac:dyDescent="0.25">
      <c r="A74" s="41">
        <v>2008</v>
      </c>
      <c r="B74" s="41" t="s">
        <v>122</v>
      </c>
      <c r="C74" s="41" t="s">
        <v>44</v>
      </c>
      <c r="D74" s="41" t="s">
        <v>126</v>
      </c>
      <c r="E74" s="41">
        <v>0.15297696899999999</v>
      </c>
      <c r="F74" s="41"/>
      <c r="G74" s="41">
        <v>35</v>
      </c>
    </row>
    <row r="75" spans="1:7" x14ac:dyDescent="0.25">
      <c r="A75" s="42">
        <v>2008</v>
      </c>
      <c r="B75" s="42" t="s">
        <v>122</v>
      </c>
      <c r="C75" s="42" t="s">
        <v>44</v>
      </c>
      <c r="D75" s="42" t="s">
        <v>127</v>
      </c>
      <c r="E75" s="42">
        <v>0.22748462700000002</v>
      </c>
      <c r="F75" s="42"/>
      <c r="G75" s="42">
        <v>25</v>
      </c>
    </row>
    <row r="76" spans="1:7" x14ac:dyDescent="0.25">
      <c r="A76" s="41">
        <v>2008</v>
      </c>
      <c r="B76" s="41" t="s">
        <v>122</v>
      </c>
      <c r="C76" s="41" t="s">
        <v>44</v>
      </c>
      <c r="D76" s="41" t="s">
        <v>128</v>
      </c>
      <c r="E76" s="41">
        <v>0.250109945</v>
      </c>
      <c r="F76" s="41"/>
      <c r="G76" s="41">
        <v>17</v>
      </c>
    </row>
    <row r="77" spans="1:7" x14ac:dyDescent="0.25">
      <c r="A77" s="42">
        <v>2008</v>
      </c>
      <c r="B77" s="42" t="s">
        <v>122</v>
      </c>
      <c r="C77" s="42" t="s">
        <v>44</v>
      </c>
      <c r="D77" s="42" t="s">
        <v>129</v>
      </c>
      <c r="E77" s="42">
        <v>0.13311369000000001</v>
      </c>
      <c r="F77" s="42"/>
      <c r="G77" s="42">
        <v>12</v>
      </c>
    </row>
    <row r="78" spans="1:7" x14ac:dyDescent="0.25">
      <c r="A78" s="41">
        <v>2008</v>
      </c>
      <c r="B78" s="41" t="s">
        <v>122</v>
      </c>
      <c r="C78" s="41" t="s">
        <v>44</v>
      </c>
      <c r="D78" s="41" t="s">
        <v>130</v>
      </c>
      <c r="E78" s="41">
        <v>0.159093596</v>
      </c>
      <c r="F78" s="41"/>
      <c r="G78" s="41">
        <v>21</v>
      </c>
    </row>
    <row r="79" spans="1:7" x14ac:dyDescent="0.25">
      <c r="A79" s="42">
        <v>2012</v>
      </c>
      <c r="B79" s="42" t="s">
        <v>122</v>
      </c>
      <c r="C79" s="42" t="s">
        <v>44</v>
      </c>
      <c r="D79" s="42" t="s">
        <v>123</v>
      </c>
      <c r="E79" s="42">
        <v>1.5054901000000001E-2</v>
      </c>
      <c r="F79" s="42"/>
      <c r="G79" s="42">
        <v>61</v>
      </c>
    </row>
    <row r="80" spans="1:7" x14ac:dyDescent="0.25">
      <c r="A80" s="41">
        <v>2012</v>
      </c>
      <c r="B80" s="41" t="s">
        <v>122</v>
      </c>
      <c r="C80" s="41" t="s">
        <v>44</v>
      </c>
      <c r="D80" s="41" t="s">
        <v>124</v>
      </c>
      <c r="E80" s="41">
        <v>2.8906336000000001E-2</v>
      </c>
      <c r="F80" s="41"/>
      <c r="G80" s="41">
        <v>36</v>
      </c>
    </row>
    <row r="81" spans="1:7" x14ac:dyDescent="0.25">
      <c r="A81" s="42">
        <v>2012</v>
      </c>
      <c r="B81" s="42" t="s">
        <v>122</v>
      </c>
      <c r="C81" s="42" t="s">
        <v>44</v>
      </c>
      <c r="D81" s="42" t="s">
        <v>125</v>
      </c>
      <c r="E81" s="42">
        <v>0.210664566</v>
      </c>
      <c r="F81" s="42"/>
      <c r="G81" s="42">
        <v>20</v>
      </c>
    </row>
    <row r="82" spans="1:7" x14ac:dyDescent="0.25">
      <c r="A82" s="41">
        <v>2012</v>
      </c>
      <c r="B82" s="41" t="s">
        <v>122</v>
      </c>
      <c r="C82" s="41" t="s">
        <v>44</v>
      </c>
      <c r="D82" s="41" t="s">
        <v>126</v>
      </c>
      <c r="E82" s="41">
        <v>0.23917324200000001</v>
      </c>
      <c r="F82" s="41"/>
      <c r="G82" s="41">
        <v>50</v>
      </c>
    </row>
    <row r="83" spans="1:7" x14ac:dyDescent="0.25">
      <c r="A83" s="42">
        <v>2012</v>
      </c>
      <c r="B83" s="42" t="s">
        <v>122</v>
      </c>
      <c r="C83" s="42" t="s">
        <v>44</v>
      </c>
      <c r="D83" s="42" t="s">
        <v>127</v>
      </c>
      <c r="E83" s="42">
        <v>0.19545610799999999</v>
      </c>
      <c r="F83" s="42"/>
      <c r="G83" s="42">
        <v>32</v>
      </c>
    </row>
    <row r="84" spans="1:7" x14ac:dyDescent="0.25">
      <c r="A84" s="41">
        <v>2012</v>
      </c>
      <c r="B84" s="41" t="s">
        <v>122</v>
      </c>
      <c r="C84" s="41" t="s">
        <v>44</v>
      </c>
      <c r="D84" s="41" t="s">
        <v>128</v>
      </c>
      <c r="E84" s="41">
        <v>0.31322517300000002</v>
      </c>
      <c r="F84" s="41"/>
      <c r="G84" s="41">
        <v>31</v>
      </c>
    </row>
    <row r="85" spans="1:7" x14ac:dyDescent="0.25">
      <c r="A85" s="42">
        <v>2012</v>
      </c>
      <c r="B85" s="42" t="s">
        <v>122</v>
      </c>
      <c r="C85" s="42" t="s">
        <v>44</v>
      </c>
      <c r="D85" s="42" t="s">
        <v>129</v>
      </c>
      <c r="E85" s="42">
        <v>0.16233588099999999</v>
      </c>
      <c r="F85" s="42"/>
      <c r="G85" s="42">
        <v>21</v>
      </c>
    </row>
    <row r="86" spans="1:7" x14ac:dyDescent="0.25">
      <c r="A86" s="41">
        <v>2012</v>
      </c>
      <c r="B86" s="41" t="s">
        <v>122</v>
      </c>
      <c r="C86" s="41" t="s">
        <v>44</v>
      </c>
      <c r="D86" s="41" t="s">
        <v>130</v>
      </c>
      <c r="E86" s="41">
        <v>0.20705949799999998</v>
      </c>
      <c r="F86" s="41"/>
      <c r="G86" s="41">
        <v>41</v>
      </c>
    </row>
    <row r="87" spans="1:7" x14ac:dyDescent="0.25">
      <c r="A87" s="42">
        <v>2003</v>
      </c>
      <c r="B87" s="42" t="s">
        <v>122</v>
      </c>
      <c r="C87" s="42" t="s">
        <v>43</v>
      </c>
      <c r="D87" s="42" t="s">
        <v>123</v>
      </c>
      <c r="E87" s="42">
        <v>4.5872947999999997E-2</v>
      </c>
      <c r="F87" s="42"/>
      <c r="G87" s="42">
        <v>91</v>
      </c>
    </row>
    <row r="88" spans="1:7" x14ac:dyDescent="0.25">
      <c r="A88" s="41">
        <v>2003</v>
      </c>
      <c r="B88" s="41" t="s">
        <v>122</v>
      </c>
      <c r="C88" s="41" t="s">
        <v>43</v>
      </c>
      <c r="D88" s="41" t="s">
        <v>124</v>
      </c>
      <c r="E88" s="41">
        <v>0.29970306299999999</v>
      </c>
      <c r="F88" s="41"/>
      <c r="G88" s="41">
        <v>63</v>
      </c>
    </row>
    <row r="89" spans="1:7" x14ac:dyDescent="0.25">
      <c r="A89" s="42">
        <v>2003</v>
      </c>
      <c r="B89" s="42" t="s">
        <v>122</v>
      </c>
      <c r="C89" s="42" t="s">
        <v>43</v>
      </c>
      <c r="D89" s="42" t="s">
        <v>125</v>
      </c>
      <c r="E89" s="42">
        <v>0.230106227</v>
      </c>
      <c r="F89" s="42"/>
      <c r="G89" s="42">
        <v>38</v>
      </c>
    </row>
    <row r="90" spans="1:7" x14ac:dyDescent="0.25">
      <c r="A90" s="41">
        <v>2003</v>
      </c>
      <c r="B90" s="41" t="s">
        <v>122</v>
      </c>
      <c r="C90" s="41" t="s">
        <v>43</v>
      </c>
      <c r="D90" s="41" t="s">
        <v>126</v>
      </c>
      <c r="E90" s="41">
        <v>0.16320759900000004</v>
      </c>
      <c r="F90" s="41"/>
      <c r="G90" s="41">
        <v>33</v>
      </c>
    </row>
    <row r="91" spans="1:7" x14ac:dyDescent="0.25">
      <c r="A91" s="42">
        <v>2003</v>
      </c>
      <c r="B91" s="42" t="s">
        <v>122</v>
      </c>
      <c r="C91" s="42" t="s">
        <v>43</v>
      </c>
      <c r="D91" s="42" t="s">
        <v>127</v>
      </c>
      <c r="E91" s="42">
        <v>0.18384518899999999</v>
      </c>
      <c r="F91" s="42"/>
      <c r="G91" s="42">
        <v>27</v>
      </c>
    </row>
    <row r="92" spans="1:7" x14ac:dyDescent="0.25">
      <c r="A92" s="41">
        <v>2003</v>
      </c>
      <c r="B92" s="41" t="s">
        <v>122</v>
      </c>
      <c r="C92" s="41" t="s">
        <v>43</v>
      </c>
      <c r="D92" s="41" t="s">
        <v>128</v>
      </c>
      <c r="E92" s="41">
        <v>0.34999397000000004</v>
      </c>
      <c r="F92" s="41"/>
      <c r="G92" s="41">
        <v>19</v>
      </c>
    </row>
    <row r="93" spans="1:7" x14ac:dyDescent="0.25">
      <c r="A93" s="42">
        <v>2003</v>
      </c>
      <c r="B93" s="42" t="s">
        <v>122</v>
      </c>
      <c r="C93" s="42" t="s">
        <v>43</v>
      </c>
      <c r="D93" s="42" t="s">
        <v>129</v>
      </c>
      <c r="E93" s="42">
        <v>0.16509426799999999</v>
      </c>
      <c r="F93" s="42"/>
      <c r="G93" s="42">
        <v>9</v>
      </c>
    </row>
    <row r="94" spans="1:7" x14ac:dyDescent="0.25">
      <c r="A94" s="41">
        <v>2007</v>
      </c>
      <c r="B94" s="41" t="s">
        <v>122</v>
      </c>
      <c r="C94" s="41" t="s">
        <v>43</v>
      </c>
      <c r="D94" s="41" t="s">
        <v>123</v>
      </c>
      <c r="E94" s="41">
        <v>7.7323955E-2</v>
      </c>
      <c r="F94" s="41"/>
      <c r="G94" s="41">
        <v>114</v>
      </c>
    </row>
    <row r="95" spans="1:7" x14ac:dyDescent="0.25">
      <c r="A95" s="42">
        <v>2007</v>
      </c>
      <c r="B95" s="42" t="s">
        <v>122</v>
      </c>
      <c r="C95" s="42" t="s">
        <v>43</v>
      </c>
      <c r="D95" s="42" t="s">
        <v>124</v>
      </c>
      <c r="E95" s="42">
        <v>0.205593427</v>
      </c>
      <c r="F95" s="42"/>
      <c r="G95" s="42">
        <v>153</v>
      </c>
    </row>
    <row r="96" spans="1:7" x14ac:dyDescent="0.25">
      <c r="A96" s="41">
        <v>2007</v>
      </c>
      <c r="B96" s="41" t="s">
        <v>122</v>
      </c>
      <c r="C96" s="41" t="s">
        <v>43</v>
      </c>
      <c r="D96" s="41" t="s">
        <v>125</v>
      </c>
      <c r="E96" s="41">
        <v>0.245429746</v>
      </c>
      <c r="F96" s="41"/>
      <c r="G96" s="41">
        <v>129</v>
      </c>
    </row>
    <row r="97" spans="1:7" x14ac:dyDescent="0.25">
      <c r="A97" s="42">
        <v>2007</v>
      </c>
      <c r="B97" s="42" t="s">
        <v>122</v>
      </c>
      <c r="C97" s="42" t="s">
        <v>43</v>
      </c>
      <c r="D97" s="42" t="s">
        <v>126</v>
      </c>
      <c r="E97" s="42">
        <v>0.25756432000000001</v>
      </c>
      <c r="F97" s="42"/>
      <c r="G97" s="42">
        <v>67</v>
      </c>
    </row>
    <row r="98" spans="1:7" x14ac:dyDescent="0.25">
      <c r="A98" s="41">
        <v>2007</v>
      </c>
      <c r="B98" s="41" t="s">
        <v>122</v>
      </c>
      <c r="C98" s="41" t="s">
        <v>43</v>
      </c>
      <c r="D98" s="41" t="s">
        <v>127</v>
      </c>
      <c r="E98" s="41">
        <v>0.22269740099999999</v>
      </c>
      <c r="F98" s="41"/>
      <c r="G98" s="41">
        <v>105</v>
      </c>
    </row>
    <row r="99" spans="1:7" x14ac:dyDescent="0.25">
      <c r="A99" s="42">
        <v>2007</v>
      </c>
      <c r="B99" s="42" t="s">
        <v>122</v>
      </c>
      <c r="C99" s="42" t="s">
        <v>43</v>
      </c>
      <c r="D99" s="42" t="s">
        <v>128</v>
      </c>
      <c r="E99" s="42">
        <v>0.17993030300000001</v>
      </c>
      <c r="F99" s="42"/>
      <c r="G99" s="42">
        <v>60</v>
      </c>
    </row>
    <row r="100" spans="1:7" x14ac:dyDescent="0.25">
      <c r="A100" s="41">
        <v>2007</v>
      </c>
      <c r="B100" s="41" t="s">
        <v>122</v>
      </c>
      <c r="C100" s="41" t="s">
        <v>43</v>
      </c>
      <c r="D100" s="41" t="s">
        <v>129</v>
      </c>
      <c r="E100" s="41">
        <v>0.12905831800000001</v>
      </c>
      <c r="F100" s="41"/>
      <c r="G100" s="41">
        <v>73</v>
      </c>
    </row>
    <row r="101" spans="1:7" x14ac:dyDescent="0.25">
      <c r="A101" s="42">
        <v>2008</v>
      </c>
      <c r="B101" s="42" t="s">
        <v>122</v>
      </c>
      <c r="C101" s="42" t="s">
        <v>43</v>
      </c>
      <c r="D101" s="42" t="s">
        <v>123</v>
      </c>
      <c r="E101" s="42">
        <v>0.10783606599999999</v>
      </c>
      <c r="F101" s="42"/>
      <c r="G101" s="42">
        <v>94</v>
      </c>
    </row>
    <row r="102" spans="1:7" x14ac:dyDescent="0.25">
      <c r="A102" s="41">
        <v>2008</v>
      </c>
      <c r="B102" s="41" t="s">
        <v>122</v>
      </c>
      <c r="C102" s="41" t="s">
        <v>43</v>
      </c>
      <c r="D102" s="41" t="s">
        <v>124</v>
      </c>
      <c r="E102" s="41">
        <v>0.12007459100000001</v>
      </c>
      <c r="F102" s="41"/>
      <c r="G102" s="41">
        <v>125</v>
      </c>
    </row>
    <row r="103" spans="1:7" x14ac:dyDescent="0.25">
      <c r="A103" s="42">
        <v>2008</v>
      </c>
      <c r="B103" s="42" t="s">
        <v>122</v>
      </c>
      <c r="C103" s="42" t="s">
        <v>43</v>
      </c>
      <c r="D103" s="42" t="s">
        <v>125</v>
      </c>
      <c r="E103" s="42">
        <v>0.22277129400000001</v>
      </c>
      <c r="F103" s="42"/>
      <c r="G103" s="42">
        <v>46</v>
      </c>
    </row>
    <row r="104" spans="1:7" x14ac:dyDescent="0.25">
      <c r="A104" s="41">
        <v>2008</v>
      </c>
      <c r="B104" s="41" t="s">
        <v>122</v>
      </c>
      <c r="C104" s="41" t="s">
        <v>43</v>
      </c>
      <c r="D104" s="41" t="s">
        <v>126</v>
      </c>
      <c r="E104" s="41">
        <v>0.25928747200000002</v>
      </c>
      <c r="F104" s="41"/>
      <c r="G104" s="41">
        <v>30</v>
      </c>
    </row>
    <row r="105" spans="1:7" x14ac:dyDescent="0.25">
      <c r="A105" s="42">
        <v>2008</v>
      </c>
      <c r="B105" s="42" t="s">
        <v>122</v>
      </c>
      <c r="C105" s="42" t="s">
        <v>43</v>
      </c>
      <c r="D105" s="42" t="s">
        <v>127</v>
      </c>
      <c r="E105" s="42">
        <v>0.22592046399999999</v>
      </c>
      <c r="F105" s="42"/>
      <c r="G105" s="42">
        <v>46</v>
      </c>
    </row>
    <row r="106" spans="1:7" x14ac:dyDescent="0.25">
      <c r="A106" s="41">
        <v>2008</v>
      </c>
      <c r="B106" s="41" t="s">
        <v>122</v>
      </c>
      <c r="C106" s="41" t="s">
        <v>43</v>
      </c>
      <c r="D106" s="41" t="s">
        <v>128</v>
      </c>
      <c r="E106" s="41">
        <v>9.2730678999999996E-2</v>
      </c>
      <c r="F106" s="41"/>
      <c r="G106" s="41">
        <v>32</v>
      </c>
    </row>
    <row r="107" spans="1:7" x14ac:dyDescent="0.25">
      <c r="A107" s="42">
        <v>2008</v>
      </c>
      <c r="B107" s="42" t="s">
        <v>122</v>
      </c>
      <c r="C107" s="42" t="s">
        <v>43</v>
      </c>
      <c r="D107" s="42" t="s">
        <v>129</v>
      </c>
      <c r="E107" s="42">
        <v>0.17156017200000001</v>
      </c>
      <c r="F107" s="42"/>
      <c r="G107" s="42">
        <v>27</v>
      </c>
    </row>
    <row r="108" spans="1:7" x14ac:dyDescent="0.25">
      <c r="A108" s="41">
        <v>2012</v>
      </c>
      <c r="B108" s="41" t="s">
        <v>122</v>
      </c>
      <c r="C108" s="41" t="s">
        <v>43</v>
      </c>
      <c r="D108" s="41" t="s">
        <v>123</v>
      </c>
      <c r="E108" s="41">
        <v>4.8646180000000004E-2</v>
      </c>
      <c r="F108" s="41"/>
      <c r="G108" s="41">
        <v>106</v>
      </c>
    </row>
    <row r="109" spans="1:7" x14ac:dyDescent="0.25">
      <c r="A109" s="42">
        <v>2012</v>
      </c>
      <c r="B109" s="42" t="s">
        <v>122</v>
      </c>
      <c r="C109" s="42" t="s">
        <v>43</v>
      </c>
      <c r="D109" s="42" t="s">
        <v>124</v>
      </c>
      <c r="E109" s="42">
        <v>0.14105263900000001</v>
      </c>
      <c r="F109" s="42"/>
      <c r="G109" s="42">
        <v>92</v>
      </c>
    </row>
    <row r="110" spans="1:7" x14ac:dyDescent="0.25">
      <c r="A110" s="41">
        <v>2012</v>
      </c>
      <c r="B110" s="41" t="s">
        <v>122</v>
      </c>
      <c r="C110" s="41" t="s">
        <v>43</v>
      </c>
      <c r="D110" s="41" t="s">
        <v>125</v>
      </c>
      <c r="E110" s="41">
        <v>0.24543136600000001</v>
      </c>
      <c r="F110" s="41"/>
      <c r="G110" s="41">
        <v>67</v>
      </c>
    </row>
    <row r="111" spans="1:7" x14ac:dyDescent="0.25">
      <c r="A111" s="42">
        <v>2012</v>
      </c>
      <c r="B111" s="42" t="s">
        <v>122</v>
      </c>
      <c r="C111" s="42" t="s">
        <v>43</v>
      </c>
      <c r="D111" s="42" t="s">
        <v>126</v>
      </c>
      <c r="E111" s="42">
        <v>0.20473237799999999</v>
      </c>
      <c r="F111" s="42"/>
      <c r="G111" s="42">
        <v>58</v>
      </c>
    </row>
    <row r="112" spans="1:7" x14ac:dyDescent="0.25">
      <c r="A112" s="41">
        <v>2012</v>
      </c>
      <c r="B112" s="41" t="s">
        <v>122</v>
      </c>
      <c r="C112" s="41" t="s">
        <v>43</v>
      </c>
      <c r="D112" s="41" t="s">
        <v>127</v>
      </c>
      <c r="E112" s="41">
        <v>0.28105888800000001</v>
      </c>
      <c r="F112" s="41"/>
      <c r="G112" s="41">
        <v>46</v>
      </c>
    </row>
    <row r="113" spans="1:7" x14ac:dyDescent="0.25">
      <c r="A113" s="42">
        <v>2012</v>
      </c>
      <c r="B113" s="42" t="s">
        <v>122</v>
      </c>
      <c r="C113" s="42" t="s">
        <v>43</v>
      </c>
      <c r="D113" s="42" t="s">
        <v>128</v>
      </c>
      <c r="E113" s="42">
        <v>0.16939852799999999</v>
      </c>
      <c r="F113" s="42"/>
      <c r="G113" s="42">
        <v>42</v>
      </c>
    </row>
    <row r="114" spans="1:7" x14ac:dyDescent="0.25">
      <c r="A114" s="41">
        <v>2012</v>
      </c>
      <c r="B114" s="41" t="s">
        <v>122</v>
      </c>
      <c r="C114" s="41" t="s">
        <v>43</v>
      </c>
      <c r="D114" s="41" t="s">
        <v>129</v>
      </c>
      <c r="E114" s="41">
        <v>0.22869615800000001</v>
      </c>
      <c r="F114" s="41"/>
      <c r="G114" s="41">
        <v>40</v>
      </c>
    </row>
    <row r="115" spans="1:7" x14ac:dyDescent="0.25">
      <c r="A115" s="42">
        <v>2003</v>
      </c>
      <c r="B115" s="42" t="s">
        <v>122</v>
      </c>
      <c r="C115" s="42" t="s">
        <v>44</v>
      </c>
      <c r="D115" s="42" t="s">
        <v>121</v>
      </c>
      <c r="E115" s="42">
        <v>0.11599999999999999</v>
      </c>
      <c r="F115" s="42"/>
      <c r="G115" s="42">
        <v>137</v>
      </c>
    </row>
    <row r="116" spans="1:7" x14ac:dyDescent="0.25">
      <c r="A116" s="41">
        <v>2003</v>
      </c>
      <c r="B116" s="41" t="s">
        <v>122</v>
      </c>
      <c r="C116" s="41" t="s">
        <v>43</v>
      </c>
      <c r="D116" s="41" t="s">
        <v>121</v>
      </c>
      <c r="E116" s="41">
        <v>0.183</v>
      </c>
      <c r="F116" s="41"/>
      <c r="G116" s="41">
        <v>201</v>
      </c>
    </row>
    <row r="117" spans="1:7" x14ac:dyDescent="0.25">
      <c r="A117" s="41">
        <v>2007</v>
      </c>
      <c r="B117" s="41" t="s">
        <v>122</v>
      </c>
      <c r="C117" s="41" t="s">
        <v>44</v>
      </c>
      <c r="D117" s="41" t="s">
        <v>121</v>
      </c>
      <c r="E117" s="41">
        <v>0.114</v>
      </c>
      <c r="F117" s="41"/>
      <c r="G117" s="41">
        <v>415</v>
      </c>
    </row>
    <row r="118" spans="1:7" x14ac:dyDescent="0.25">
      <c r="A118" s="42">
        <v>2007</v>
      </c>
      <c r="B118" s="42" t="s">
        <v>122</v>
      </c>
      <c r="C118" s="42" t="s">
        <v>43</v>
      </c>
      <c r="D118" s="42" t="s">
        <v>121</v>
      </c>
      <c r="E118" s="42">
        <v>0.17600000000000002</v>
      </c>
      <c r="F118" s="42"/>
      <c r="G118" s="42">
        <v>436</v>
      </c>
    </row>
    <row r="119" spans="1:7" x14ac:dyDescent="0.25">
      <c r="A119" s="42">
        <v>2008</v>
      </c>
      <c r="B119" s="42" t="s">
        <v>122</v>
      </c>
      <c r="C119" s="42" t="s">
        <v>44</v>
      </c>
      <c r="D119" s="42" t="s">
        <v>121</v>
      </c>
      <c r="E119" s="42">
        <v>0.114</v>
      </c>
      <c r="F119" s="42"/>
      <c r="G119" s="42">
        <v>266</v>
      </c>
    </row>
    <row r="120" spans="1:7" x14ac:dyDescent="0.25">
      <c r="A120" s="41">
        <v>2008</v>
      </c>
      <c r="B120" s="41" t="s">
        <v>122</v>
      </c>
      <c r="C120" s="41" t="s">
        <v>43</v>
      </c>
      <c r="D120" s="41" t="s">
        <v>121</v>
      </c>
      <c r="E120" s="41">
        <v>0.16</v>
      </c>
      <c r="F120" s="41"/>
      <c r="G120" s="41">
        <v>281</v>
      </c>
    </row>
    <row r="121" spans="1:7" x14ac:dyDescent="0.25">
      <c r="A121" s="41">
        <v>2012</v>
      </c>
      <c r="B121" s="41" t="s">
        <v>122</v>
      </c>
      <c r="C121" s="41" t="s">
        <v>44</v>
      </c>
      <c r="D121" s="41" t="s">
        <v>121</v>
      </c>
      <c r="E121" s="41">
        <v>0.13400000000000001</v>
      </c>
      <c r="F121" s="41"/>
      <c r="G121" s="41">
        <v>233</v>
      </c>
    </row>
    <row r="122" spans="1:7" x14ac:dyDescent="0.25">
      <c r="A122" s="42">
        <v>2012</v>
      </c>
      <c r="B122" s="42" t="s">
        <v>122</v>
      </c>
      <c r="C122" s="42" t="s">
        <v>43</v>
      </c>
      <c r="D122" s="42" t="s">
        <v>121</v>
      </c>
      <c r="E122" s="42">
        <v>0.17600000000000002</v>
      </c>
      <c r="F122" s="42"/>
      <c r="G122" s="42">
        <v>247</v>
      </c>
    </row>
    <row r="123" spans="1:7" x14ac:dyDescent="0.25">
      <c r="A123" s="41">
        <v>2018</v>
      </c>
      <c r="B123" s="41" t="s">
        <v>102</v>
      </c>
      <c r="C123" s="41" t="s">
        <v>43</v>
      </c>
      <c r="D123" s="41" t="s">
        <v>121</v>
      </c>
      <c r="E123" s="41">
        <v>0.25317665401767298</v>
      </c>
      <c r="F123" s="41"/>
      <c r="G123" s="41">
        <v>193.03265389274</v>
      </c>
    </row>
    <row r="124" spans="1:7" x14ac:dyDescent="0.25">
      <c r="A124" s="42">
        <v>2018</v>
      </c>
      <c r="B124" s="42" t="s">
        <v>102</v>
      </c>
      <c r="C124" s="42" t="s">
        <v>44</v>
      </c>
      <c r="D124" s="42" t="s">
        <v>121</v>
      </c>
      <c r="E124" s="42">
        <v>0.127941050080116</v>
      </c>
      <c r="F124" s="42"/>
      <c r="G124" s="42">
        <v>399.67185709817801</v>
      </c>
    </row>
    <row r="125" spans="1:7" x14ac:dyDescent="0.25">
      <c r="A125" s="42">
        <v>2018</v>
      </c>
      <c r="B125" s="42" t="s">
        <v>103</v>
      </c>
      <c r="C125" s="42" t="s">
        <v>43</v>
      </c>
      <c r="D125" s="42" t="s">
        <v>121</v>
      </c>
      <c r="E125" s="42">
        <v>6.8440034136463795E-2</v>
      </c>
      <c r="F125" s="42"/>
      <c r="G125" s="42">
        <v>205.42613506567699</v>
      </c>
    </row>
    <row r="126" spans="1:7" x14ac:dyDescent="0.25">
      <c r="A126" s="41">
        <v>2018</v>
      </c>
      <c r="B126" s="41" t="s">
        <v>103</v>
      </c>
      <c r="C126" s="41" t="s">
        <v>44</v>
      </c>
      <c r="D126" s="41" t="s">
        <v>121</v>
      </c>
      <c r="E126" s="41">
        <v>4.58034455035881E-2</v>
      </c>
      <c r="F126" s="41"/>
      <c r="G126" s="41">
        <v>96.659727966379094</v>
      </c>
    </row>
    <row r="127" spans="1:7" x14ac:dyDescent="0.25">
      <c r="A127" s="41">
        <v>2018</v>
      </c>
      <c r="B127" s="41" t="s">
        <v>104</v>
      </c>
      <c r="C127" s="41" t="s">
        <v>43</v>
      </c>
      <c r="D127" s="41" t="s">
        <v>121</v>
      </c>
      <c r="E127" s="41">
        <v>0.20964557801737199</v>
      </c>
      <c r="F127" s="41"/>
      <c r="G127" s="41">
        <v>158.52243100936499</v>
      </c>
    </row>
    <row r="128" spans="1:7" x14ac:dyDescent="0.25">
      <c r="A128" s="42">
        <v>2018</v>
      </c>
      <c r="B128" s="42" t="s">
        <v>104</v>
      </c>
      <c r="C128" s="42" t="s">
        <v>44</v>
      </c>
      <c r="D128" s="42" t="s">
        <v>121</v>
      </c>
      <c r="E128" s="42">
        <v>9.6041338401439205E-2</v>
      </c>
      <c r="F128" s="42"/>
      <c r="G128" s="42">
        <v>195.19755333207399</v>
      </c>
    </row>
    <row r="129" spans="1:7" x14ac:dyDescent="0.25">
      <c r="A129" s="42">
        <v>2018</v>
      </c>
      <c r="B129" s="42" t="s">
        <v>105</v>
      </c>
      <c r="C129" s="42" t="s">
        <v>43</v>
      </c>
      <c r="D129" s="42" t="s">
        <v>121</v>
      </c>
      <c r="E129" s="42">
        <v>0.17579984153640801</v>
      </c>
      <c r="F129" s="42"/>
      <c r="G129" s="42">
        <v>217.59266355705799</v>
      </c>
    </row>
    <row r="130" spans="1:7" x14ac:dyDescent="0.25">
      <c r="A130" s="41">
        <v>2018</v>
      </c>
      <c r="B130" s="41" t="s">
        <v>105</v>
      </c>
      <c r="C130" s="41" t="s">
        <v>44</v>
      </c>
      <c r="D130" s="41" t="s">
        <v>121</v>
      </c>
      <c r="E130" s="41">
        <v>7.0564210969542296E-2</v>
      </c>
      <c r="F130" s="41"/>
      <c r="G130" s="41">
        <v>140.41697835954801</v>
      </c>
    </row>
    <row r="131" spans="1:7" x14ac:dyDescent="0.25">
      <c r="A131" s="41">
        <v>2018</v>
      </c>
      <c r="B131" s="41" t="s">
        <v>106</v>
      </c>
      <c r="C131" s="41" t="s">
        <v>43</v>
      </c>
      <c r="D131" s="41" t="s">
        <v>121</v>
      </c>
      <c r="E131" s="41">
        <v>4.31669426116921E-2</v>
      </c>
      <c r="F131" s="41"/>
      <c r="G131" s="41">
        <v>258.43371764369601</v>
      </c>
    </row>
    <row r="132" spans="1:7" x14ac:dyDescent="0.25">
      <c r="A132" s="42">
        <v>2018</v>
      </c>
      <c r="B132" s="42" t="s">
        <v>106</v>
      </c>
      <c r="C132" s="42" t="s">
        <v>44</v>
      </c>
      <c r="D132" s="42" t="s">
        <v>121</v>
      </c>
      <c r="E132" s="42">
        <v>2.4703092167798101E-2</v>
      </c>
      <c r="F132" s="42"/>
      <c r="G132" s="42">
        <v>164.73694994525701</v>
      </c>
    </row>
    <row r="133" spans="1:7" x14ac:dyDescent="0.25">
      <c r="A133" s="42">
        <v>2018</v>
      </c>
      <c r="B133" s="42" t="s">
        <v>107</v>
      </c>
      <c r="C133" s="42" t="s">
        <v>43</v>
      </c>
      <c r="D133" s="42" t="s">
        <v>121</v>
      </c>
      <c r="E133" s="42">
        <v>0.19052072783535301</v>
      </c>
      <c r="F133" s="42"/>
      <c r="G133" s="42">
        <v>230.83907672065499</v>
      </c>
    </row>
    <row r="134" spans="1:7" x14ac:dyDescent="0.25">
      <c r="A134" s="41">
        <v>2018</v>
      </c>
      <c r="B134" s="41" t="s">
        <v>107</v>
      </c>
      <c r="C134" s="41" t="s">
        <v>44</v>
      </c>
      <c r="D134" s="41" t="s">
        <v>121</v>
      </c>
      <c r="E134" s="41">
        <v>9.6091665343051705E-2</v>
      </c>
      <c r="F134" s="41"/>
      <c r="G134" s="41">
        <v>235.01602208819099</v>
      </c>
    </row>
    <row r="135" spans="1:7" x14ac:dyDescent="0.25">
      <c r="A135" s="41">
        <v>2018</v>
      </c>
      <c r="B135" s="41" t="s">
        <v>122</v>
      </c>
      <c r="C135" s="41" t="s">
        <v>43</v>
      </c>
      <c r="D135" s="41" t="s">
        <v>123</v>
      </c>
      <c r="E135" s="41">
        <v>2.94102941804654E-2</v>
      </c>
      <c r="F135" s="41"/>
      <c r="G135" s="41">
        <v>357.75755318202602</v>
      </c>
    </row>
    <row r="136" spans="1:7" x14ac:dyDescent="0.25">
      <c r="A136" s="42">
        <v>2018</v>
      </c>
      <c r="B136" s="42" t="s">
        <v>122</v>
      </c>
      <c r="C136" s="42" t="s">
        <v>44</v>
      </c>
      <c r="D136" s="42" t="s">
        <v>123</v>
      </c>
      <c r="E136" s="42">
        <v>2.4771865369696E-3</v>
      </c>
      <c r="F136" s="42"/>
      <c r="G136" s="42">
        <v>569.72631571193801</v>
      </c>
    </row>
    <row r="137" spans="1:7" x14ac:dyDescent="0.25">
      <c r="A137" s="42">
        <v>2018</v>
      </c>
      <c r="B137" s="42" t="s">
        <v>122</v>
      </c>
      <c r="C137" s="42" t="s">
        <v>43</v>
      </c>
      <c r="D137" s="42" t="s">
        <v>124</v>
      </c>
      <c r="E137" s="42">
        <v>9.1042010840012497E-2</v>
      </c>
      <c r="F137" s="42"/>
      <c r="G137" s="42">
        <v>234.557450807799</v>
      </c>
    </row>
    <row r="138" spans="1:7" x14ac:dyDescent="0.25">
      <c r="A138" s="41">
        <v>2018</v>
      </c>
      <c r="B138" s="41" t="s">
        <v>122</v>
      </c>
      <c r="C138" s="41" t="s">
        <v>44</v>
      </c>
      <c r="D138" s="41" t="s">
        <v>124</v>
      </c>
      <c r="E138" s="41">
        <v>2.15813221505794E-2</v>
      </c>
      <c r="F138" s="41"/>
      <c r="G138" s="41">
        <v>115.15551387158099</v>
      </c>
    </row>
    <row r="139" spans="1:7" x14ac:dyDescent="0.25">
      <c r="A139" s="41">
        <v>2018</v>
      </c>
      <c r="B139" s="41" t="s">
        <v>122</v>
      </c>
      <c r="C139" s="41" t="s">
        <v>43</v>
      </c>
      <c r="D139" s="41" t="s">
        <v>125</v>
      </c>
      <c r="E139" s="41">
        <v>0.23342644735670301</v>
      </c>
      <c r="F139" s="41"/>
      <c r="G139" s="41">
        <v>276.45886998052299</v>
      </c>
    </row>
    <row r="140" spans="1:7" x14ac:dyDescent="0.25">
      <c r="A140" s="42">
        <v>2018</v>
      </c>
      <c r="B140" s="42" t="s">
        <v>122</v>
      </c>
      <c r="C140" s="42" t="s">
        <v>44</v>
      </c>
      <c r="D140" s="42" t="s">
        <v>125</v>
      </c>
      <c r="E140" s="42">
        <v>7.0460551216065107E-2</v>
      </c>
      <c r="F140" s="42"/>
      <c r="G140" s="42">
        <v>117.90076425850199</v>
      </c>
    </row>
    <row r="141" spans="1:7" x14ac:dyDescent="0.25">
      <c r="A141" s="42">
        <v>2018</v>
      </c>
      <c r="B141" s="42" t="s">
        <v>122</v>
      </c>
      <c r="C141" s="42" t="s">
        <v>43</v>
      </c>
      <c r="D141" s="42" t="s">
        <v>126</v>
      </c>
      <c r="E141" s="42">
        <v>0.269639962505207</v>
      </c>
      <c r="F141" s="42"/>
      <c r="G141" s="42">
        <v>305.24608559099801</v>
      </c>
    </row>
    <row r="142" spans="1:7" x14ac:dyDescent="0.25">
      <c r="A142" s="41">
        <v>2018</v>
      </c>
      <c r="B142" s="41" t="s">
        <v>122</v>
      </c>
      <c r="C142" s="41" t="s">
        <v>44</v>
      </c>
      <c r="D142" s="41" t="s">
        <v>126</v>
      </c>
      <c r="E142" s="41">
        <v>9.1061281265983701E-2</v>
      </c>
      <c r="F142" s="41"/>
      <c r="G142" s="41">
        <v>157.72906612109699</v>
      </c>
    </row>
    <row r="143" spans="1:7" x14ac:dyDescent="0.25">
      <c r="A143" s="41">
        <v>2018</v>
      </c>
      <c r="B143" s="41" t="s">
        <v>122</v>
      </c>
      <c r="C143" s="41" t="s">
        <v>43</v>
      </c>
      <c r="D143" s="41" t="s">
        <v>127</v>
      </c>
      <c r="E143" s="41">
        <v>0.270518094237645</v>
      </c>
      <c r="F143" s="41"/>
      <c r="G143" s="41">
        <v>126.77164035731499</v>
      </c>
    </row>
    <row r="144" spans="1:7" x14ac:dyDescent="0.25">
      <c r="A144" s="42">
        <v>2018</v>
      </c>
      <c r="B144" s="42" t="s">
        <v>122</v>
      </c>
      <c r="C144" s="42" t="s">
        <v>44</v>
      </c>
      <c r="D144" s="42" t="s">
        <v>127</v>
      </c>
      <c r="E144" s="42">
        <v>0.16749396361254401</v>
      </c>
      <c r="F144" s="42"/>
      <c r="G144" s="42">
        <v>186.73415494110901</v>
      </c>
    </row>
    <row r="145" spans="1:7" x14ac:dyDescent="0.25">
      <c r="A145" s="42">
        <v>2018</v>
      </c>
      <c r="B145" s="42" t="s">
        <v>122</v>
      </c>
      <c r="C145" s="42" t="s">
        <v>43</v>
      </c>
      <c r="D145" s="42" t="s">
        <v>128</v>
      </c>
      <c r="E145" s="42">
        <v>0.27651230721965497</v>
      </c>
      <c r="F145" s="42"/>
      <c r="G145" s="42">
        <v>209.19967105000899</v>
      </c>
    </row>
    <row r="146" spans="1:7" x14ac:dyDescent="0.25">
      <c r="A146" s="41">
        <v>2018</v>
      </c>
      <c r="B146" s="41" t="s">
        <v>122</v>
      </c>
      <c r="C146" s="41" t="s">
        <v>44</v>
      </c>
      <c r="D146" s="41" t="s">
        <v>128</v>
      </c>
      <c r="E146" s="41">
        <v>0.20750405373671901</v>
      </c>
      <c r="F146" s="41"/>
      <c r="G146" s="41">
        <v>115.406034669798</v>
      </c>
    </row>
    <row r="147" spans="1:7" x14ac:dyDescent="0.25">
      <c r="A147" s="41">
        <v>2018</v>
      </c>
      <c r="B147" s="41" t="s">
        <v>122</v>
      </c>
      <c r="C147" s="41" t="s">
        <v>43</v>
      </c>
      <c r="D147" s="41" t="s">
        <v>129</v>
      </c>
      <c r="E147" s="41">
        <v>0.19906815888615401</v>
      </c>
      <c r="F147" s="41"/>
      <c r="G147" s="41">
        <v>143.37024601644899</v>
      </c>
    </row>
    <row r="148" spans="1:7" x14ac:dyDescent="0.25">
      <c r="A148" s="42">
        <v>2018</v>
      </c>
      <c r="B148" s="42" t="s">
        <v>122</v>
      </c>
      <c r="C148" s="42" t="s">
        <v>44</v>
      </c>
      <c r="D148" s="42" t="s">
        <v>129</v>
      </c>
      <c r="E148" s="42">
        <v>0.27960811002615699</v>
      </c>
      <c r="F148" s="42"/>
      <c r="G148" s="42">
        <v>72.470205215805095</v>
      </c>
    </row>
    <row r="149" spans="1:7" x14ac:dyDescent="0.25">
      <c r="A149" s="42">
        <v>2018</v>
      </c>
      <c r="B149" s="42" t="s">
        <v>122</v>
      </c>
      <c r="C149" s="42" t="s">
        <v>43</v>
      </c>
      <c r="D149" s="42" t="s">
        <v>130</v>
      </c>
      <c r="E149" s="42">
        <v>0.2905330581401</v>
      </c>
      <c r="F149" s="42"/>
      <c r="G149" s="42">
        <v>61.815491944518399</v>
      </c>
    </row>
    <row r="150" spans="1:7" x14ac:dyDescent="0.25">
      <c r="A150" s="41">
        <v>2018</v>
      </c>
      <c r="B150" s="41" t="s">
        <v>122</v>
      </c>
      <c r="C150" s="41" t="s">
        <v>44</v>
      </c>
      <c r="D150" s="41" t="s">
        <v>130</v>
      </c>
      <c r="E150" s="41">
        <v>0.23110958214296701</v>
      </c>
      <c r="F150" s="41"/>
      <c r="G150" s="41">
        <v>79.782068474723204</v>
      </c>
    </row>
    <row r="151" spans="1:7" x14ac:dyDescent="0.25">
      <c r="A151" s="41">
        <v>2018</v>
      </c>
      <c r="B151" s="41" t="s">
        <v>122</v>
      </c>
      <c r="C151" s="41" t="s">
        <v>43</v>
      </c>
      <c r="D151" s="41" t="s">
        <v>137</v>
      </c>
      <c r="E151" s="41">
        <v>0.13650170966539699</v>
      </c>
      <c r="F151" s="41"/>
      <c r="G151" s="41">
        <v>97.634096989581707</v>
      </c>
    </row>
    <row r="152" spans="1:7" x14ac:dyDescent="0.25">
      <c r="A152" s="42">
        <v>2018</v>
      </c>
      <c r="B152" s="42" t="s">
        <v>122</v>
      </c>
      <c r="C152" s="42" t="s">
        <v>44</v>
      </c>
      <c r="D152" s="42" t="s">
        <v>137</v>
      </c>
      <c r="E152" s="42">
        <v>0.104110497589512</v>
      </c>
      <c r="F152" s="42"/>
      <c r="G152" s="42">
        <v>85.698862625739693</v>
      </c>
    </row>
    <row r="153" spans="1:7" x14ac:dyDescent="0.25">
      <c r="A153" s="42">
        <v>2018</v>
      </c>
      <c r="B153" s="42" t="s">
        <v>122</v>
      </c>
      <c r="C153" s="42" t="s">
        <v>43</v>
      </c>
      <c r="D153" s="42" t="s">
        <v>138</v>
      </c>
      <c r="E153" s="42">
        <v>0.14727053926549699</v>
      </c>
      <c r="F153" s="42"/>
      <c r="G153" s="42">
        <v>72.978324149656004</v>
      </c>
    </row>
    <row r="154" spans="1:7" x14ac:dyDescent="0.25">
      <c r="A154" s="41">
        <v>2018</v>
      </c>
      <c r="B154" s="41" t="s">
        <v>122</v>
      </c>
      <c r="C154" s="41" t="s">
        <v>44</v>
      </c>
      <c r="D154" s="41" t="s">
        <v>138</v>
      </c>
      <c r="E154" s="41">
        <v>0.134027322039172</v>
      </c>
      <c r="F154" s="41"/>
      <c r="G154" s="41">
        <v>50.936289123996801</v>
      </c>
    </row>
    <row r="155" spans="1:7" x14ac:dyDescent="0.25">
      <c r="A155" s="41">
        <v>2018</v>
      </c>
      <c r="B155" s="41" t="s">
        <v>122</v>
      </c>
      <c r="C155" s="41" t="s">
        <v>43</v>
      </c>
      <c r="D155" s="41" t="s">
        <v>121</v>
      </c>
      <c r="E155" s="41">
        <v>0.166743150524122</v>
      </c>
      <c r="F155" s="41"/>
      <c r="G155" s="41">
        <v>1047.7067929643399</v>
      </c>
    </row>
    <row r="156" spans="1:7" x14ac:dyDescent="0.25">
      <c r="A156" s="42">
        <v>2018</v>
      </c>
      <c r="B156" s="42" t="s">
        <v>122</v>
      </c>
      <c r="C156" s="42" t="s">
        <v>44</v>
      </c>
      <c r="D156" s="42" t="s">
        <v>121</v>
      </c>
      <c r="E156" s="42">
        <v>8.2563693433851004E-2</v>
      </c>
      <c r="F156" s="42"/>
      <c r="G156" s="42">
        <v>1045.7800294128399</v>
      </c>
    </row>
    <row r="176" spans="1:7" x14ac:dyDescent="0.25">
      <c r="A176" s="41"/>
      <c r="B176" s="41"/>
      <c r="C176" s="41"/>
      <c r="D176" s="41"/>
      <c r="E176" s="41"/>
      <c r="F176" s="41"/>
      <c r="G176" s="41"/>
    </row>
    <row r="177" spans="1:7" x14ac:dyDescent="0.25">
      <c r="A177" s="42"/>
      <c r="B177" s="42"/>
      <c r="C177" s="42"/>
      <c r="D177" s="42"/>
      <c r="E177" s="42"/>
      <c r="F177" s="42"/>
      <c r="G177" s="42"/>
    </row>
    <row r="178" spans="1:7" x14ac:dyDescent="0.25">
      <c r="A178" s="41"/>
      <c r="B178" s="41"/>
      <c r="C178" s="41"/>
      <c r="D178" s="41"/>
      <c r="E178" s="41"/>
      <c r="F178" s="41"/>
      <c r="G178" s="41"/>
    </row>
    <row r="179" spans="1:7" x14ac:dyDescent="0.25">
      <c r="A179" s="42"/>
      <c r="B179" s="42"/>
      <c r="C179" s="42"/>
      <c r="D179" s="42"/>
      <c r="E179" s="42"/>
      <c r="F179" s="42"/>
      <c r="G179" s="42"/>
    </row>
    <row r="180" spans="1:7" x14ac:dyDescent="0.25">
      <c r="A180" s="41"/>
      <c r="B180" s="41"/>
      <c r="C180" s="41"/>
      <c r="D180" s="41"/>
      <c r="E180" s="41"/>
      <c r="F180" s="41"/>
      <c r="G180" s="41"/>
    </row>
    <row r="181" spans="1:7" x14ac:dyDescent="0.25">
      <c r="A181" s="42"/>
      <c r="B181" s="42"/>
      <c r="C181" s="42"/>
      <c r="D181" s="42"/>
      <c r="E181" s="42"/>
      <c r="F181" s="42"/>
      <c r="G181" s="42"/>
    </row>
    <row r="182" spans="1:7" x14ac:dyDescent="0.25">
      <c r="A182" s="41"/>
      <c r="B182" s="41"/>
      <c r="C182" s="41"/>
      <c r="D182" s="41"/>
      <c r="E182" s="41"/>
      <c r="F182" s="41"/>
      <c r="G182" s="41"/>
    </row>
    <row r="183" spans="1:7" x14ac:dyDescent="0.25">
      <c r="A183" s="42"/>
      <c r="B183" s="42"/>
      <c r="C183" s="42"/>
      <c r="D183" s="42"/>
      <c r="E183" s="42"/>
      <c r="F183" s="42"/>
      <c r="G183" s="42"/>
    </row>
    <row r="184" spans="1:7" x14ac:dyDescent="0.25">
      <c r="A184" s="41"/>
      <c r="B184" s="41"/>
      <c r="C184" s="41"/>
      <c r="D184" s="41"/>
      <c r="E184" s="41"/>
      <c r="F184" s="41"/>
      <c r="G184" s="41"/>
    </row>
    <row r="185" spans="1:7" x14ac:dyDescent="0.25">
      <c r="A185" s="42"/>
      <c r="B185" s="42"/>
      <c r="C185" s="42"/>
      <c r="D185" s="42"/>
      <c r="E185" s="42"/>
      <c r="F185" s="42"/>
      <c r="G185" s="42"/>
    </row>
    <row r="186" spans="1:7" x14ac:dyDescent="0.25">
      <c r="A186" s="41"/>
      <c r="B186" s="41"/>
      <c r="C186" s="41"/>
      <c r="D186" s="41"/>
      <c r="E186" s="41"/>
      <c r="F186" s="41"/>
      <c r="G186" s="41"/>
    </row>
    <row r="187" spans="1:7" x14ac:dyDescent="0.25">
      <c r="A187" s="42"/>
      <c r="B187" s="42"/>
      <c r="C187" s="42"/>
      <c r="D187" s="42"/>
      <c r="E187" s="42"/>
      <c r="F187" s="42"/>
      <c r="G187" s="42"/>
    </row>
    <row r="188" spans="1:7" x14ac:dyDescent="0.25">
      <c r="A188" s="41"/>
      <c r="B188" s="41"/>
      <c r="C188" s="41"/>
      <c r="D188" s="41"/>
      <c r="E188" s="41"/>
      <c r="F188" s="41"/>
      <c r="G188" s="41"/>
    </row>
    <row r="189" spans="1:7" x14ac:dyDescent="0.25">
      <c r="A189" s="42"/>
      <c r="B189" s="42"/>
      <c r="C189" s="42"/>
      <c r="D189" s="42"/>
      <c r="E189" s="42"/>
      <c r="F189" s="42"/>
      <c r="G189" s="42"/>
    </row>
    <row r="190" spans="1:7" x14ac:dyDescent="0.25">
      <c r="A190" s="41"/>
      <c r="B190" s="41"/>
      <c r="C190" s="41"/>
      <c r="D190" s="41"/>
      <c r="E190" s="41"/>
      <c r="F190" s="41"/>
      <c r="G190" s="41"/>
    </row>
    <row r="191" spans="1:7" x14ac:dyDescent="0.25">
      <c r="A191" s="42"/>
      <c r="B191" s="42"/>
      <c r="C191" s="42"/>
      <c r="D191" s="42"/>
      <c r="E191" s="42"/>
      <c r="F191" s="42"/>
      <c r="G191" s="42"/>
    </row>
    <row r="192" spans="1:7" x14ac:dyDescent="0.25">
      <c r="A192" s="41"/>
      <c r="B192" s="41"/>
      <c r="C192" s="41"/>
      <c r="D192" s="41"/>
      <c r="E192" s="41"/>
      <c r="F192" s="41"/>
      <c r="G192" s="41"/>
    </row>
    <row r="193" spans="1:7" x14ac:dyDescent="0.25">
      <c r="A193" s="42"/>
      <c r="B193" s="42"/>
      <c r="C193" s="42"/>
      <c r="D193" s="42"/>
      <c r="E193" s="42"/>
      <c r="F193" s="42"/>
      <c r="G193" s="42"/>
    </row>
    <row r="194" spans="1:7" x14ac:dyDescent="0.25">
      <c r="A194" s="41"/>
      <c r="B194" s="41"/>
      <c r="C194" s="41"/>
      <c r="D194" s="41"/>
      <c r="E194" s="41"/>
      <c r="F194" s="41"/>
      <c r="G194" s="41"/>
    </row>
    <row r="195" spans="1:7" x14ac:dyDescent="0.25">
      <c r="A195" s="42"/>
      <c r="B195" s="42"/>
      <c r="C195" s="42"/>
      <c r="D195" s="42"/>
      <c r="E195" s="42"/>
      <c r="F195" s="42"/>
      <c r="G195" s="42"/>
    </row>
    <row r="196" spans="1:7" x14ac:dyDescent="0.25">
      <c r="A196" s="41"/>
      <c r="B196" s="41"/>
      <c r="C196" s="41"/>
      <c r="D196" s="41"/>
      <c r="E196" s="41"/>
      <c r="F196" s="41"/>
      <c r="G196" s="41"/>
    </row>
    <row r="197" spans="1:7" x14ac:dyDescent="0.25">
      <c r="A197" s="42"/>
      <c r="B197" s="42"/>
      <c r="C197" s="42"/>
      <c r="D197" s="42"/>
      <c r="E197" s="42"/>
      <c r="F197" s="42"/>
      <c r="G197" s="42"/>
    </row>
    <row r="198" spans="1:7" x14ac:dyDescent="0.25">
      <c r="A198" s="41"/>
      <c r="B198" s="41"/>
      <c r="C198" s="41"/>
      <c r="D198" s="41"/>
      <c r="E198" s="41"/>
      <c r="F198" s="41"/>
      <c r="G198" s="41"/>
    </row>
    <row r="199" spans="1:7" x14ac:dyDescent="0.25">
      <c r="A199" s="42"/>
      <c r="B199" s="42"/>
      <c r="C199" s="42"/>
      <c r="D199" s="42"/>
      <c r="E199" s="42"/>
      <c r="F199" s="42"/>
      <c r="G199" s="42"/>
    </row>
    <row r="200" spans="1:7" x14ac:dyDescent="0.25">
      <c r="A200" s="41"/>
      <c r="B200" s="41"/>
      <c r="C200" s="41"/>
      <c r="D200" s="41"/>
      <c r="E200" s="41"/>
      <c r="F200" s="41"/>
      <c r="G200" s="41"/>
    </row>
    <row r="201" spans="1:7" x14ac:dyDescent="0.25">
      <c r="A201" s="42"/>
      <c r="B201" s="42"/>
      <c r="C201" s="42"/>
      <c r="D201" s="42"/>
      <c r="E201" s="42"/>
      <c r="F201" s="42"/>
      <c r="G201" s="42"/>
    </row>
    <row r="202" spans="1:7" x14ac:dyDescent="0.25">
      <c r="A202" s="41"/>
      <c r="B202" s="41"/>
      <c r="C202" s="41"/>
      <c r="D202" s="41"/>
      <c r="E202" s="41"/>
      <c r="F202" s="41"/>
      <c r="G202" s="41"/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1008"/>
  <sheetViews>
    <sheetView topLeftCell="A205" zoomScale="80" zoomScaleNormal="80" workbookViewId="0">
      <selection activeCell="I22" sqref="I22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85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/>
      <c r="C6" s="42" t="s">
        <v>115</v>
      </c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85</v>
      </c>
      <c r="F8" s="38" t="s">
        <v>113</v>
      </c>
      <c r="G8" s="38" t="s">
        <v>115</v>
      </c>
      <c r="J8" s="40" t="s">
        <v>120</v>
      </c>
    </row>
    <row r="9" spans="1:12" x14ac:dyDescent="0.25">
      <c r="A9" s="42">
        <v>2009</v>
      </c>
      <c r="B9" s="42" t="s">
        <v>102</v>
      </c>
      <c r="C9" s="42" t="s">
        <v>44</v>
      </c>
      <c r="D9" s="42" t="s">
        <v>133</v>
      </c>
      <c r="E9" s="42">
        <v>18335</v>
      </c>
      <c r="F9" s="42"/>
      <c r="G9" s="42">
        <v>3667</v>
      </c>
      <c r="J9" s="40" t="s">
        <v>148</v>
      </c>
    </row>
    <row r="10" spans="1:12" x14ac:dyDescent="0.25">
      <c r="A10" s="41">
        <v>2009</v>
      </c>
      <c r="B10" s="41" t="s">
        <v>102</v>
      </c>
      <c r="C10" s="41" t="s">
        <v>44</v>
      </c>
      <c r="D10" s="41" t="s">
        <v>134</v>
      </c>
      <c r="E10" s="41">
        <v>69799</v>
      </c>
      <c r="F10" s="41"/>
      <c r="G10" s="41">
        <v>13959.8</v>
      </c>
    </row>
    <row r="11" spans="1:12" x14ac:dyDescent="0.25">
      <c r="A11" s="42">
        <v>2009</v>
      </c>
      <c r="B11" s="42" t="s">
        <v>102</v>
      </c>
      <c r="C11" s="42" t="s">
        <v>44</v>
      </c>
      <c r="D11" s="42" t="s">
        <v>135</v>
      </c>
      <c r="E11" s="42">
        <v>75926</v>
      </c>
      <c r="F11" s="42"/>
      <c r="G11" s="42">
        <v>15185.2</v>
      </c>
    </row>
    <row r="12" spans="1:12" x14ac:dyDescent="0.25">
      <c r="A12" s="41">
        <v>2009</v>
      </c>
      <c r="B12" s="41" t="s">
        <v>102</v>
      </c>
      <c r="C12" s="41" t="s">
        <v>44</v>
      </c>
      <c r="D12" s="41" t="s">
        <v>136</v>
      </c>
      <c r="E12" s="41">
        <v>68689</v>
      </c>
      <c r="F12" s="41"/>
      <c r="G12" s="41">
        <v>13737.8</v>
      </c>
    </row>
    <row r="13" spans="1:12" x14ac:dyDescent="0.25">
      <c r="A13" s="42">
        <v>2009</v>
      </c>
      <c r="B13" s="42" t="s">
        <v>102</v>
      </c>
      <c r="C13" s="42" t="s">
        <v>44</v>
      </c>
      <c r="D13" s="42" t="s">
        <v>123</v>
      </c>
      <c r="E13" s="42">
        <v>57430</v>
      </c>
      <c r="F13" s="42"/>
      <c r="G13" s="42">
        <v>11486</v>
      </c>
    </row>
    <row r="14" spans="1:12" x14ac:dyDescent="0.25">
      <c r="A14" s="41">
        <v>2009</v>
      </c>
      <c r="B14" s="41" t="s">
        <v>102</v>
      </c>
      <c r="C14" s="41" t="s">
        <v>44</v>
      </c>
      <c r="D14" s="41" t="s">
        <v>124</v>
      </c>
      <c r="E14" s="41">
        <v>39573</v>
      </c>
      <c r="F14" s="41"/>
      <c r="G14" s="41">
        <v>7914.6</v>
      </c>
    </row>
    <row r="15" spans="1:12" x14ac:dyDescent="0.25">
      <c r="A15" s="42">
        <v>2009</v>
      </c>
      <c r="B15" s="42" t="s">
        <v>102</v>
      </c>
      <c r="C15" s="42" t="s">
        <v>44</v>
      </c>
      <c r="D15" s="42" t="s">
        <v>125</v>
      </c>
      <c r="E15" s="42">
        <v>30437</v>
      </c>
      <c r="F15" s="42"/>
      <c r="G15" s="42">
        <v>6087.4</v>
      </c>
    </row>
    <row r="16" spans="1:12" x14ac:dyDescent="0.25">
      <c r="A16" s="41">
        <v>2009</v>
      </c>
      <c r="B16" s="41" t="s">
        <v>102</v>
      </c>
      <c r="C16" s="41" t="s">
        <v>44</v>
      </c>
      <c r="D16" s="41" t="s">
        <v>126</v>
      </c>
      <c r="E16" s="41">
        <v>23259</v>
      </c>
      <c r="F16" s="41"/>
      <c r="G16" s="41">
        <v>4651.8</v>
      </c>
    </row>
    <row r="17" spans="1:7" x14ac:dyDescent="0.25">
      <c r="A17" s="42">
        <v>2009</v>
      </c>
      <c r="B17" s="42" t="s">
        <v>102</v>
      </c>
      <c r="C17" s="42" t="s">
        <v>44</v>
      </c>
      <c r="D17" s="42" t="s">
        <v>127</v>
      </c>
      <c r="E17" s="42">
        <v>16013</v>
      </c>
      <c r="F17" s="42"/>
      <c r="G17" s="42">
        <v>3202.6</v>
      </c>
    </row>
    <row r="18" spans="1:7" x14ac:dyDescent="0.25">
      <c r="A18" s="41">
        <v>2009</v>
      </c>
      <c r="B18" s="41" t="s">
        <v>102</v>
      </c>
      <c r="C18" s="41" t="s">
        <v>44</v>
      </c>
      <c r="D18" s="41" t="s">
        <v>128</v>
      </c>
      <c r="E18" s="41">
        <v>11914</v>
      </c>
      <c r="F18" s="41"/>
      <c r="G18" s="41">
        <v>2382.8000000000002</v>
      </c>
    </row>
    <row r="19" spans="1:7" x14ac:dyDescent="0.25">
      <c r="A19" s="42">
        <v>2009</v>
      </c>
      <c r="B19" s="42" t="s">
        <v>102</v>
      </c>
      <c r="C19" s="42" t="s">
        <v>44</v>
      </c>
      <c r="D19" s="42" t="s">
        <v>129</v>
      </c>
      <c r="E19" s="42">
        <v>11124</v>
      </c>
      <c r="F19" s="42"/>
      <c r="G19" s="42">
        <v>2224.8000000000002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130</v>
      </c>
      <c r="E20" s="41">
        <v>9705</v>
      </c>
      <c r="F20" s="41"/>
      <c r="G20" s="41">
        <v>1941</v>
      </c>
    </row>
    <row r="21" spans="1:7" x14ac:dyDescent="0.25">
      <c r="A21" s="42">
        <v>2009</v>
      </c>
      <c r="B21" s="42" t="s">
        <v>102</v>
      </c>
      <c r="C21" s="42" t="s">
        <v>44</v>
      </c>
      <c r="D21" s="42" t="s">
        <v>137</v>
      </c>
      <c r="E21" s="42">
        <v>8159</v>
      </c>
      <c r="F21" s="42"/>
      <c r="G21" s="42">
        <v>1631.8</v>
      </c>
    </row>
    <row r="22" spans="1:7" x14ac:dyDescent="0.25">
      <c r="A22" s="41">
        <v>2009</v>
      </c>
      <c r="B22" s="41" t="s">
        <v>102</v>
      </c>
      <c r="C22" s="41" t="s">
        <v>44</v>
      </c>
      <c r="D22" s="41" t="s">
        <v>138</v>
      </c>
      <c r="E22" s="41">
        <v>6989</v>
      </c>
      <c r="F22" s="41"/>
      <c r="G22" s="41">
        <v>1397.8</v>
      </c>
    </row>
    <row r="23" spans="1:7" x14ac:dyDescent="0.25">
      <c r="A23" s="42">
        <v>2009</v>
      </c>
      <c r="B23" s="42" t="s">
        <v>102</v>
      </c>
      <c r="C23" s="42" t="s">
        <v>44</v>
      </c>
      <c r="D23" s="42" t="s">
        <v>139</v>
      </c>
      <c r="E23" s="42">
        <v>4325</v>
      </c>
      <c r="F23" s="42"/>
      <c r="G23" s="42">
        <v>865</v>
      </c>
    </row>
    <row r="24" spans="1:7" x14ac:dyDescent="0.25">
      <c r="A24" s="41">
        <v>2009</v>
      </c>
      <c r="B24" s="41" t="s">
        <v>102</v>
      </c>
      <c r="C24" s="41" t="s">
        <v>44</v>
      </c>
      <c r="D24" s="41" t="s">
        <v>140</v>
      </c>
      <c r="E24" s="41">
        <v>4029</v>
      </c>
      <c r="F24" s="41"/>
      <c r="G24" s="41">
        <v>805.8</v>
      </c>
    </row>
    <row r="25" spans="1:7" x14ac:dyDescent="0.25">
      <c r="A25" s="42">
        <v>2009</v>
      </c>
      <c r="B25" s="42" t="s">
        <v>102</v>
      </c>
      <c r="C25" s="42" t="s">
        <v>44</v>
      </c>
      <c r="D25" s="42" t="s">
        <v>141</v>
      </c>
      <c r="E25" s="42">
        <v>2835</v>
      </c>
      <c r="F25" s="42"/>
      <c r="G25" s="42">
        <v>567</v>
      </c>
    </row>
    <row r="26" spans="1:7" x14ac:dyDescent="0.25">
      <c r="A26" s="41">
        <v>2009</v>
      </c>
      <c r="B26" s="41" t="s">
        <v>102</v>
      </c>
      <c r="C26" s="41" t="s">
        <v>44</v>
      </c>
      <c r="D26" s="41" t="s">
        <v>142</v>
      </c>
      <c r="E26" s="41">
        <v>3726</v>
      </c>
      <c r="F26" s="41"/>
      <c r="G26" s="41">
        <v>745.2</v>
      </c>
    </row>
    <row r="27" spans="1:7" x14ac:dyDescent="0.25">
      <c r="A27" s="42">
        <v>2009</v>
      </c>
      <c r="B27" s="42" t="s">
        <v>102</v>
      </c>
      <c r="C27" s="42" t="s">
        <v>43</v>
      </c>
      <c r="D27" s="42" t="s">
        <v>133</v>
      </c>
      <c r="E27" s="42">
        <v>18354</v>
      </c>
      <c r="F27" s="42"/>
      <c r="G27" s="42">
        <v>3670.8</v>
      </c>
    </row>
    <row r="28" spans="1:7" x14ac:dyDescent="0.25">
      <c r="A28" s="41">
        <v>2009</v>
      </c>
      <c r="B28" s="41" t="s">
        <v>102</v>
      </c>
      <c r="C28" s="41" t="s">
        <v>43</v>
      </c>
      <c r="D28" s="41" t="s">
        <v>134</v>
      </c>
      <c r="E28" s="41">
        <v>69250</v>
      </c>
      <c r="F28" s="41"/>
      <c r="G28" s="41">
        <v>13850</v>
      </c>
    </row>
    <row r="29" spans="1:7" x14ac:dyDescent="0.25">
      <c r="A29" s="42">
        <v>2009</v>
      </c>
      <c r="B29" s="42" t="s">
        <v>102</v>
      </c>
      <c r="C29" s="42" t="s">
        <v>43</v>
      </c>
      <c r="D29" s="42" t="s">
        <v>135</v>
      </c>
      <c r="E29" s="42">
        <v>75973</v>
      </c>
      <c r="F29" s="42"/>
      <c r="G29" s="42">
        <v>15194.6</v>
      </c>
    </row>
    <row r="30" spans="1:7" x14ac:dyDescent="0.25">
      <c r="A30" s="41">
        <v>2009</v>
      </c>
      <c r="B30" s="41" t="s">
        <v>102</v>
      </c>
      <c r="C30" s="41" t="s">
        <v>43</v>
      </c>
      <c r="D30" s="41" t="s">
        <v>136</v>
      </c>
      <c r="E30" s="41">
        <v>67159</v>
      </c>
      <c r="F30" s="41"/>
      <c r="G30" s="41">
        <v>13431.8</v>
      </c>
    </row>
    <row r="31" spans="1:7" x14ac:dyDescent="0.25">
      <c r="A31" s="42">
        <v>2009</v>
      </c>
      <c r="B31" s="42" t="s">
        <v>102</v>
      </c>
      <c r="C31" s="42" t="s">
        <v>43</v>
      </c>
      <c r="D31" s="42" t="s">
        <v>123</v>
      </c>
      <c r="E31" s="42">
        <v>54119</v>
      </c>
      <c r="F31" s="42"/>
      <c r="G31" s="42">
        <v>10823.8</v>
      </c>
    </row>
    <row r="32" spans="1:7" x14ac:dyDescent="0.25">
      <c r="A32" s="41">
        <v>2009</v>
      </c>
      <c r="B32" s="41" t="s">
        <v>102</v>
      </c>
      <c r="C32" s="41" t="s">
        <v>43</v>
      </c>
      <c r="D32" s="41" t="s">
        <v>124</v>
      </c>
      <c r="E32" s="41">
        <v>50309</v>
      </c>
      <c r="F32" s="41"/>
      <c r="G32" s="41">
        <v>10061.799999999999</v>
      </c>
    </row>
    <row r="33" spans="1:7" x14ac:dyDescent="0.25">
      <c r="A33" s="42">
        <v>2009</v>
      </c>
      <c r="B33" s="42" t="s">
        <v>102</v>
      </c>
      <c r="C33" s="42" t="s">
        <v>43</v>
      </c>
      <c r="D33" s="42" t="s">
        <v>125</v>
      </c>
      <c r="E33" s="42">
        <v>36016</v>
      </c>
      <c r="F33" s="42"/>
      <c r="G33" s="42">
        <v>7203.2</v>
      </c>
    </row>
    <row r="34" spans="1:7" x14ac:dyDescent="0.25">
      <c r="A34" s="41">
        <v>2009</v>
      </c>
      <c r="B34" s="41" t="s">
        <v>102</v>
      </c>
      <c r="C34" s="41" t="s">
        <v>43</v>
      </c>
      <c r="D34" s="41" t="s">
        <v>126</v>
      </c>
      <c r="E34" s="41">
        <v>26342</v>
      </c>
      <c r="F34" s="41"/>
      <c r="G34" s="41">
        <v>5268.4</v>
      </c>
    </row>
    <row r="35" spans="1:7" x14ac:dyDescent="0.25">
      <c r="A35" s="42">
        <v>2009</v>
      </c>
      <c r="B35" s="42" t="s">
        <v>102</v>
      </c>
      <c r="C35" s="42" t="s">
        <v>43</v>
      </c>
      <c r="D35" s="42" t="s">
        <v>127</v>
      </c>
      <c r="E35" s="42">
        <v>20010</v>
      </c>
      <c r="F35" s="42"/>
      <c r="G35" s="42">
        <v>4002</v>
      </c>
    </row>
    <row r="36" spans="1:7" x14ac:dyDescent="0.25">
      <c r="A36" s="41">
        <v>2009</v>
      </c>
      <c r="B36" s="41" t="s">
        <v>102</v>
      </c>
      <c r="C36" s="41" t="s">
        <v>43</v>
      </c>
      <c r="D36" s="41" t="s">
        <v>128</v>
      </c>
      <c r="E36" s="41">
        <v>16513</v>
      </c>
      <c r="F36" s="41"/>
      <c r="G36" s="41">
        <v>3302.6</v>
      </c>
    </row>
    <row r="37" spans="1:7" x14ac:dyDescent="0.25">
      <c r="A37" s="42">
        <v>2009</v>
      </c>
      <c r="B37" s="42" t="s">
        <v>102</v>
      </c>
      <c r="C37" s="42" t="s">
        <v>43</v>
      </c>
      <c r="D37" s="42" t="s">
        <v>129</v>
      </c>
      <c r="E37" s="42">
        <v>15248</v>
      </c>
      <c r="F37" s="42"/>
      <c r="G37" s="42">
        <v>3049.6</v>
      </c>
    </row>
    <row r="38" spans="1:7" x14ac:dyDescent="0.25">
      <c r="A38" s="41">
        <v>2009</v>
      </c>
      <c r="B38" s="41" t="s">
        <v>102</v>
      </c>
      <c r="C38" s="41" t="s">
        <v>43</v>
      </c>
      <c r="D38" s="41" t="s">
        <v>130</v>
      </c>
      <c r="E38" s="41">
        <v>12942</v>
      </c>
      <c r="F38" s="41"/>
      <c r="G38" s="41">
        <v>2588.4</v>
      </c>
    </row>
    <row r="39" spans="1:7" x14ac:dyDescent="0.25">
      <c r="A39" s="42">
        <v>2009</v>
      </c>
      <c r="B39" s="42" t="s">
        <v>102</v>
      </c>
      <c r="C39" s="42" t="s">
        <v>43</v>
      </c>
      <c r="D39" s="42" t="s">
        <v>137</v>
      </c>
      <c r="E39" s="42">
        <v>9833</v>
      </c>
      <c r="F39" s="42"/>
      <c r="G39" s="42">
        <v>1966.6</v>
      </c>
    </row>
    <row r="40" spans="1:7" x14ac:dyDescent="0.25">
      <c r="A40" s="41">
        <v>2009</v>
      </c>
      <c r="B40" s="41" t="s">
        <v>102</v>
      </c>
      <c r="C40" s="41" t="s">
        <v>43</v>
      </c>
      <c r="D40" s="41" t="s">
        <v>138</v>
      </c>
      <c r="E40" s="41">
        <v>8587</v>
      </c>
      <c r="F40" s="41"/>
      <c r="G40" s="41">
        <v>1717.4</v>
      </c>
    </row>
    <row r="41" spans="1:7" x14ac:dyDescent="0.25">
      <c r="A41" s="42">
        <v>2009</v>
      </c>
      <c r="B41" s="42" t="s">
        <v>102</v>
      </c>
      <c r="C41" s="42" t="s">
        <v>43</v>
      </c>
      <c r="D41" s="42" t="s">
        <v>139</v>
      </c>
      <c r="E41" s="42">
        <v>5957</v>
      </c>
      <c r="F41" s="42"/>
      <c r="G41" s="42">
        <v>1191.4000000000001</v>
      </c>
    </row>
    <row r="42" spans="1:7" x14ac:dyDescent="0.25">
      <c r="A42" s="41">
        <v>2009</v>
      </c>
      <c r="B42" s="41" t="s">
        <v>102</v>
      </c>
      <c r="C42" s="41" t="s">
        <v>43</v>
      </c>
      <c r="D42" s="41" t="s">
        <v>140</v>
      </c>
      <c r="E42" s="41">
        <v>5355</v>
      </c>
      <c r="F42" s="41"/>
      <c r="G42" s="41">
        <v>1071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141</v>
      </c>
      <c r="E43" s="42">
        <v>3891</v>
      </c>
      <c r="F43" s="42"/>
      <c r="G43" s="42">
        <v>778.2</v>
      </c>
    </row>
    <row r="44" spans="1:7" x14ac:dyDescent="0.25">
      <c r="A44" s="41">
        <v>2009</v>
      </c>
      <c r="B44" s="41" t="s">
        <v>102</v>
      </c>
      <c r="C44" s="41" t="s">
        <v>43</v>
      </c>
      <c r="D44" s="41" t="s">
        <v>142</v>
      </c>
      <c r="E44" s="41">
        <v>5316</v>
      </c>
      <c r="F44" s="41"/>
      <c r="G44" s="41">
        <v>1063.2</v>
      </c>
    </row>
    <row r="45" spans="1:7" x14ac:dyDescent="0.25">
      <c r="A45" s="42">
        <v>2009</v>
      </c>
      <c r="B45" s="42" t="s">
        <v>103</v>
      </c>
      <c r="C45" s="42" t="s">
        <v>44</v>
      </c>
      <c r="D45" s="42" t="s">
        <v>133</v>
      </c>
      <c r="E45" s="42">
        <v>18236</v>
      </c>
      <c r="F45" s="42"/>
      <c r="G45" s="42">
        <v>3647.2</v>
      </c>
    </row>
    <row r="46" spans="1:7" x14ac:dyDescent="0.25">
      <c r="A46" s="41">
        <v>2009</v>
      </c>
      <c r="B46" s="41" t="s">
        <v>103</v>
      </c>
      <c r="C46" s="41" t="s">
        <v>44</v>
      </c>
      <c r="D46" s="41" t="s">
        <v>134</v>
      </c>
      <c r="E46" s="41">
        <v>69529</v>
      </c>
      <c r="F46" s="41"/>
      <c r="G46" s="41">
        <v>13905.8</v>
      </c>
    </row>
    <row r="47" spans="1:7" x14ac:dyDescent="0.25">
      <c r="A47" s="42">
        <v>2009</v>
      </c>
      <c r="B47" s="42" t="s">
        <v>103</v>
      </c>
      <c r="C47" s="42" t="s">
        <v>44</v>
      </c>
      <c r="D47" s="42" t="s">
        <v>135</v>
      </c>
      <c r="E47" s="42">
        <v>76757</v>
      </c>
      <c r="F47" s="42"/>
      <c r="G47" s="42">
        <v>15351.4</v>
      </c>
    </row>
    <row r="48" spans="1:7" x14ac:dyDescent="0.25">
      <c r="A48" s="41">
        <v>2009</v>
      </c>
      <c r="B48" s="41" t="s">
        <v>103</v>
      </c>
      <c r="C48" s="41" t="s">
        <v>44</v>
      </c>
      <c r="D48" s="41" t="s">
        <v>136</v>
      </c>
      <c r="E48" s="41">
        <v>68473</v>
      </c>
      <c r="F48" s="41"/>
      <c r="G48" s="41">
        <v>13694.6</v>
      </c>
    </row>
    <row r="49" spans="1:7" x14ac:dyDescent="0.25">
      <c r="A49" s="42">
        <v>2009</v>
      </c>
      <c r="B49" s="42" t="s">
        <v>103</v>
      </c>
      <c r="C49" s="42" t="s">
        <v>44</v>
      </c>
      <c r="D49" s="42" t="s">
        <v>123</v>
      </c>
      <c r="E49" s="42">
        <v>59228</v>
      </c>
      <c r="F49" s="42"/>
      <c r="G49" s="42">
        <v>11845.6</v>
      </c>
    </row>
    <row r="50" spans="1:7" x14ac:dyDescent="0.25">
      <c r="A50" s="41">
        <v>2009</v>
      </c>
      <c r="B50" s="41" t="s">
        <v>103</v>
      </c>
      <c r="C50" s="41" t="s">
        <v>44</v>
      </c>
      <c r="D50" s="41" t="s">
        <v>124</v>
      </c>
      <c r="E50" s="41">
        <v>41898</v>
      </c>
      <c r="F50" s="41"/>
      <c r="G50" s="41">
        <v>8379.6</v>
      </c>
    </row>
    <row r="51" spans="1:7" x14ac:dyDescent="0.25">
      <c r="A51" s="42">
        <v>2009</v>
      </c>
      <c r="B51" s="42" t="s">
        <v>103</v>
      </c>
      <c r="C51" s="42" t="s">
        <v>44</v>
      </c>
      <c r="D51" s="42" t="s">
        <v>125</v>
      </c>
      <c r="E51" s="42">
        <v>32792</v>
      </c>
      <c r="F51" s="42"/>
      <c r="G51" s="42">
        <v>6558.4</v>
      </c>
    </row>
    <row r="52" spans="1:7" x14ac:dyDescent="0.25">
      <c r="A52" s="41">
        <v>2009</v>
      </c>
      <c r="B52" s="41" t="s">
        <v>103</v>
      </c>
      <c r="C52" s="41" t="s">
        <v>44</v>
      </c>
      <c r="D52" s="41" t="s">
        <v>126</v>
      </c>
      <c r="E52" s="41">
        <v>26678</v>
      </c>
      <c r="F52" s="41"/>
      <c r="G52" s="41">
        <v>5335.6</v>
      </c>
    </row>
    <row r="53" spans="1:7" x14ac:dyDescent="0.25">
      <c r="A53" s="42">
        <v>2009</v>
      </c>
      <c r="B53" s="42" t="s">
        <v>103</v>
      </c>
      <c r="C53" s="42" t="s">
        <v>44</v>
      </c>
      <c r="D53" s="42" t="s">
        <v>127</v>
      </c>
      <c r="E53" s="42">
        <v>21766</v>
      </c>
      <c r="F53" s="42"/>
      <c r="G53" s="42">
        <v>4353.2</v>
      </c>
    </row>
    <row r="54" spans="1:7" x14ac:dyDescent="0.25">
      <c r="A54" s="41">
        <v>2009</v>
      </c>
      <c r="B54" s="41" t="s">
        <v>103</v>
      </c>
      <c r="C54" s="41" t="s">
        <v>44</v>
      </c>
      <c r="D54" s="41" t="s">
        <v>128</v>
      </c>
      <c r="E54" s="41">
        <v>15718</v>
      </c>
      <c r="F54" s="41"/>
      <c r="G54" s="41">
        <v>3143.6</v>
      </c>
    </row>
    <row r="55" spans="1:7" x14ac:dyDescent="0.25">
      <c r="A55" s="42">
        <v>2009</v>
      </c>
      <c r="B55" s="42" t="s">
        <v>103</v>
      </c>
      <c r="C55" s="42" t="s">
        <v>44</v>
      </c>
      <c r="D55" s="42" t="s">
        <v>129</v>
      </c>
      <c r="E55" s="42">
        <v>16797</v>
      </c>
      <c r="F55" s="42"/>
      <c r="G55" s="42">
        <v>3359.4</v>
      </c>
    </row>
    <row r="56" spans="1:7" x14ac:dyDescent="0.25">
      <c r="A56" s="41">
        <v>2009</v>
      </c>
      <c r="B56" s="41" t="s">
        <v>103</v>
      </c>
      <c r="C56" s="41" t="s">
        <v>44</v>
      </c>
      <c r="D56" s="41" t="s">
        <v>130</v>
      </c>
      <c r="E56" s="41">
        <v>12789</v>
      </c>
      <c r="F56" s="41"/>
      <c r="G56" s="41">
        <v>2557.8000000000002</v>
      </c>
    </row>
    <row r="57" spans="1:7" x14ac:dyDescent="0.25">
      <c r="A57" s="42">
        <v>2009</v>
      </c>
      <c r="B57" s="42" t="s">
        <v>103</v>
      </c>
      <c r="C57" s="42" t="s">
        <v>44</v>
      </c>
      <c r="D57" s="42" t="s">
        <v>137</v>
      </c>
      <c r="E57" s="42">
        <v>9527</v>
      </c>
      <c r="F57" s="42"/>
      <c r="G57" s="42">
        <v>1905.4</v>
      </c>
    </row>
    <row r="58" spans="1:7" x14ac:dyDescent="0.25">
      <c r="A58" s="41">
        <v>2009</v>
      </c>
      <c r="B58" s="41" t="s">
        <v>103</v>
      </c>
      <c r="C58" s="41" t="s">
        <v>44</v>
      </c>
      <c r="D58" s="41" t="s">
        <v>138</v>
      </c>
      <c r="E58" s="41">
        <v>7395</v>
      </c>
      <c r="F58" s="41"/>
      <c r="G58" s="41">
        <v>1479</v>
      </c>
    </row>
    <row r="59" spans="1:7" x14ac:dyDescent="0.25">
      <c r="A59" s="42">
        <v>2009</v>
      </c>
      <c r="B59" s="42" t="s">
        <v>103</v>
      </c>
      <c r="C59" s="42" t="s">
        <v>44</v>
      </c>
      <c r="D59" s="42" t="s">
        <v>139</v>
      </c>
      <c r="E59" s="42">
        <v>4637</v>
      </c>
      <c r="F59" s="42"/>
      <c r="G59" s="42">
        <v>927.4</v>
      </c>
    </row>
    <row r="60" spans="1:7" x14ac:dyDescent="0.25">
      <c r="A60" s="41">
        <v>2009</v>
      </c>
      <c r="B60" s="41" t="s">
        <v>103</v>
      </c>
      <c r="C60" s="41" t="s">
        <v>44</v>
      </c>
      <c r="D60" s="41" t="s">
        <v>140</v>
      </c>
      <c r="E60" s="41">
        <v>3945</v>
      </c>
      <c r="F60" s="41"/>
      <c r="G60" s="41">
        <v>789</v>
      </c>
    </row>
    <row r="61" spans="1:7" x14ac:dyDescent="0.25">
      <c r="A61" s="42">
        <v>2009</v>
      </c>
      <c r="B61" s="42" t="s">
        <v>103</v>
      </c>
      <c r="C61" s="42" t="s">
        <v>44</v>
      </c>
      <c r="D61" s="42" t="s">
        <v>141</v>
      </c>
      <c r="E61" s="42">
        <v>2743</v>
      </c>
      <c r="F61" s="42"/>
      <c r="G61" s="42">
        <v>548.6</v>
      </c>
    </row>
    <row r="62" spans="1:7" x14ac:dyDescent="0.25">
      <c r="A62" s="41">
        <v>2009</v>
      </c>
      <c r="B62" s="41" t="s">
        <v>103</v>
      </c>
      <c r="C62" s="41" t="s">
        <v>44</v>
      </c>
      <c r="D62" s="41" t="s">
        <v>142</v>
      </c>
      <c r="E62" s="41">
        <v>3701</v>
      </c>
      <c r="F62" s="41"/>
      <c r="G62" s="41">
        <v>740.2</v>
      </c>
    </row>
    <row r="63" spans="1:7" x14ac:dyDescent="0.25">
      <c r="A63" s="42">
        <v>2009</v>
      </c>
      <c r="B63" s="42" t="s">
        <v>103</v>
      </c>
      <c r="C63" s="42" t="s">
        <v>43</v>
      </c>
      <c r="D63" s="42" t="s">
        <v>133</v>
      </c>
      <c r="E63" s="42">
        <v>17993</v>
      </c>
      <c r="F63" s="42"/>
      <c r="G63" s="42">
        <v>3598.6</v>
      </c>
    </row>
    <row r="64" spans="1:7" x14ac:dyDescent="0.25">
      <c r="A64" s="41">
        <v>2009</v>
      </c>
      <c r="B64" s="41" t="s">
        <v>103</v>
      </c>
      <c r="C64" s="41" t="s">
        <v>43</v>
      </c>
      <c r="D64" s="41" t="s">
        <v>134</v>
      </c>
      <c r="E64" s="41">
        <v>69023</v>
      </c>
      <c r="F64" s="41"/>
      <c r="G64" s="41">
        <v>13804.6</v>
      </c>
    </row>
    <row r="65" spans="1:7" x14ac:dyDescent="0.25">
      <c r="A65" s="42">
        <v>2009</v>
      </c>
      <c r="B65" s="42" t="s">
        <v>103</v>
      </c>
      <c r="C65" s="42" t="s">
        <v>43</v>
      </c>
      <c r="D65" s="42" t="s">
        <v>135</v>
      </c>
      <c r="E65" s="42">
        <v>75778</v>
      </c>
      <c r="F65" s="42"/>
      <c r="G65" s="42">
        <v>15155.6</v>
      </c>
    </row>
    <row r="66" spans="1:7" x14ac:dyDescent="0.25">
      <c r="A66" s="41">
        <v>2009</v>
      </c>
      <c r="B66" s="41" t="s">
        <v>103</v>
      </c>
      <c r="C66" s="41" t="s">
        <v>43</v>
      </c>
      <c r="D66" s="41" t="s">
        <v>136</v>
      </c>
      <c r="E66" s="41">
        <v>68072</v>
      </c>
      <c r="F66" s="41"/>
      <c r="G66" s="41">
        <v>13614.4</v>
      </c>
    </row>
    <row r="67" spans="1:7" x14ac:dyDescent="0.25">
      <c r="A67" s="42">
        <v>2009</v>
      </c>
      <c r="B67" s="42" t="s">
        <v>103</v>
      </c>
      <c r="C67" s="42" t="s">
        <v>43</v>
      </c>
      <c r="D67" s="42" t="s">
        <v>123</v>
      </c>
      <c r="E67" s="42">
        <v>60776</v>
      </c>
      <c r="F67" s="42"/>
      <c r="G67" s="42">
        <v>12155.2</v>
      </c>
    </row>
    <row r="68" spans="1:7" x14ac:dyDescent="0.25">
      <c r="A68" s="41">
        <v>2009</v>
      </c>
      <c r="B68" s="41" t="s">
        <v>103</v>
      </c>
      <c r="C68" s="41" t="s">
        <v>43</v>
      </c>
      <c r="D68" s="41" t="s">
        <v>124</v>
      </c>
      <c r="E68" s="41">
        <v>58225</v>
      </c>
      <c r="F68" s="41"/>
      <c r="G68" s="41">
        <v>11645</v>
      </c>
    </row>
    <row r="69" spans="1:7" x14ac:dyDescent="0.25">
      <c r="A69" s="42">
        <v>2009</v>
      </c>
      <c r="B69" s="42" t="s">
        <v>103</v>
      </c>
      <c r="C69" s="42" t="s">
        <v>43</v>
      </c>
      <c r="D69" s="42" t="s">
        <v>125</v>
      </c>
      <c r="E69" s="42">
        <v>42878</v>
      </c>
      <c r="F69" s="42"/>
      <c r="G69" s="42">
        <v>8575.6</v>
      </c>
    </row>
    <row r="70" spans="1:7" x14ac:dyDescent="0.25">
      <c r="A70" s="41">
        <v>2009</v>
      </c>
      <c r="B70" s="41" t="s">
        <v>103</v>
      </c>
      <c r="C70" s="41" t="s">
        <v>43</v>
      </c>
      <c r="D70" s="41" t="s">
        <v>126</v>
      </c>
      <c r="E70" s="41">
        <v>30031</v>
      </c>
      <c r="F70" s="41"/>
      <c r="G70" s="41">
        <v>6006.2</v>
      </c>
    </row>
    <row r="71" spans="1:7" x14ac:dyDescent="0.25">
      <c r="A71" s="42">
        <v>2009</v>
      </c>
      <c r="B71" s="42" t="s">
        <v>103</v>
      </c>
      <c r="C71" s="42" t="s">
        <v>43</v>
      </c>
      <c r="D71" s="42" t="s">
        <v>127</v>
      </c>
      <c r="E71" s="42">
        <v>26051</v>
      </c>
      <c r="F71" s="42"/>
      <c r="G71" s="42">
        <v>5210.2</v>
      </c>
    </row>
    <row r="72" spans="1:7" x14ac:dyDescent="0.25">
      <c r="A72" s="41">
        <v>2009</v>
      </c>
      <c r="B72" s="41" t="s">
        <v>103</v>
      </c>
      <c r="C72" s="41" t="s">
        <v>43</v>
      </c>
      <c r="D72" s="41" t="s">
        <v>128</v>
      </c>
      <c r="E72" s="41">
        <v>18360</v>
      </c>
      <c r="F72" s="41"/>
      <c r="G72" s="41">
        <v>3672</v>
      </c>
    </row>
    <row r="73" spans="1:7" x14ac:dyDescent="0.25">
      <c r="A73" s="42">
        <v>2009</v>
      </c>
      <c r="B73" s="42" t="s">
        <v>103</v>
      </c>
      <c r="C73" s="42" t="s">
        <v>43</v>
      </c>
      <c r="D73" s="42" t="s">
        <v>129</v>
      </c>
      <c r="E73" s="42">
        <v>19181</v>
      </c>
      <c r="F73" s="42"/>
      <c r="G73" s="42">
        <v>3836.2</v>
      </c>
    </row>
    <row r="74" spans="1:7" x14ac:dyDescent="0.25">
      <c r="A74" s="41">
        <v>2009</v>
      </c>
      <c r="B74" s="41" t="s">
        <v>103</v>
      </c>
      <c r="C74" s="41" t="s">
        <v>43</v>
      </c>
      <c r="D74" s="41" t="s">
        <v>130</v>
      </c>
      <c r="E74" s="41">
        <v>14136</v>
      </c>
      <c r="F74" s="41"/>
      <c r="G74" s="41">
        <v>2827.2</v>
      </c>
    </row>
    <row r="75" spans="1:7" x14ac:dyDescent="0.25">
      <c r="A75" s="42">
        <v>2009</v>
      </c>
      <c r="B75" s="42" t="s">
        <v>103</v>
      </c>
      <c r="C75" s="42" t="s">
        <v>43</v>
      </c>
      <c r="D75" s="42" t="s">
        <v>137</v>
      </c>
      <c r="E75" s="42">
        <v>9528</v>
      </c>
      <c r="F75" s="42"/>
      <c r="G75" s="42">
        <v>1905.6</v>
      </c>
    </row>
    <row r="76" spans="1:7" x14ac:dyDescent="0.25">
      <c r="A76" s="41">
        <v>2009</v>
      </c>
      <c r="B76" s="41" t="s">
        <v>103</v>
      </c>
      <c r="C76" s="41" t="s">
        <v>43</v>
      </c>
      <c r="D76" s="41" t="s">
        <v>138</v>
      </c>
      <c r="E76" s="41">
        <v>7654</v>
      </c>
      <c r="F76" s="41"/>
      <c r="G76" s="41">
        <v>1530.8</v>
      </c>
    </row>
    <row r="77" spans="1:7" x14ac:dyDescent="0.25">
      <c r="A77" s="42">
        <v>2009</v>
      </c>
      <c r="B77" s="42" t="s">
        <v>103</v>
      </c>
      <c r="C77" s="42" t="s">
        <v>43</v>
      </c>
      <c r="D77" s="42" t="s">
        <v>139</v>
      </c>
      <c r="E77" s="42">
        <v>5320</v>
      </c>
      <c r="F77" s="42"/>
      <c r="G77" s="42">
        <v>1064</v>
      </c>
    </row>
    <row r="78" spans="1:7" x14ac:dyDescent="0.25">
      <c r="A78" s="41">
        <v>2009</v>
      </c>
      <c r="B78" s="41" t="s">
        <v>103</v>
      </c>
      <c r="C78" s="41" t="s">
        <v>43</v>
      </c>
      <c r="D78" s="41" t="s">
        <v>140</v>
      </c>
      <c r="E78" s="41">
        <v>5017</v>
      </c>
      <c r="F78" s="41"/>
      <c r="G78" s="41">
        <v>1003.4</v>
      </c>
    </row>
    <row r="79" spans="1:7" x14ac:dyDescent="0.25">
      <c r="A79" s="42">
        <v>2009</v>
      </c>
      <c r="B79" s="42" t="s">
        <v>103</v>
      </c>
      <c r="C79" s="42" t="s">
        <v>43</v>
      </c>
      <c r="D79" s="42" t="s">
        <v>141</v>
      </c>
      <c r="E79" s="42">
        <v>3338</v>
      </c>
      <c r="F79" s="42"/>
      <c r="G79" s="42">
        <v>667.6</v>
      </c>
    </row>
    <row r="80" spans="1:7" x14ac:dyDescent="0.25">
      <c r="A80" s="41">
        <v>2009</v>
      </c>
      <c r="B80" s="41" t="s">
        <v>103</v>
      </c>
      <c r="C80" s="41" t="s">
        <v>43</v>
      </c>
      <c r="D80" s="41" t="s">
        <v>142</v>
      </c>
      <c r="E80" s="41">
        <v>5891</v>
      </c>
      <c r="F80" s="41"/>
      <c r="G80" s="41">
        <v>1178.2</v>
      </c>
    </row>
    <row r="81" spans="1:7" x14ac:dyDescent="0.25">
      <c r="A81" s="42">
        <v>2009</v>
      </c>
      <c r="B81" s="42" t="s">
        <v>104</v>
      </c>
      <c r="C81" s="42" t="s">
        <v>44</v>
      </c>
      <c r="D81" s="42" t="s">
        <v>133</v>
      </c>
      <c r="E81" s="42">
        <v>17457</v>
      </c>
      <c r="F81" s="42"/>
      <c r="G81" s="42">
        <v>3491.4</v>
      </c>
    </row>
    <row r="82" spans="1:7" x14ac:dyDescent="0.25">
      <c r="A82" s="41">
        <v>2009</v>
      </c>
      <c r="B82" s="41" t="s">
        <v>104</v>
      </c>
      <c r="C82" s="41" t="s">
        <v>44</v>
      </c>
      <c r="D82" s="41" t="s">
        <v>134</v>
      </c>
      <c r="E82" s="41">
        <v>63054</v>
      </c>
      <c r="F82" s="41"/>
      <c r="G82" s="41">
        <v>12610.8</v>
      </c>
    </row>
    <row r="83" spans="1:7" x14ac:dyDescent="0.25">
      <c r="A83" s="42">
        <v>2009</v>
      </c>
      <c r="B83" s="42" t="s">
        <v>104</v>
      </c>
      <c r="C83" s="42" t="s">
        <v>44</v>
      </c>
      <c r="D83" s="42" t="s">
        <v>135</v>
      </c>
      <c r="E83" s="42">
        <v>67083</v>
      </c>
      <c r="F83" s="42"/>
      <c r="G83" s="42">
        <v>13416.6</v>
      </c>
    </row>
    <row r="84" spans="1:7" x14ac:dyDescent="0.25">
      <c r="A84" s="41">
        <v>2009</v>
      </c>
      <c r="B84" s="41" t="s">
        <v>104</v>
      </c>
      <c r="C84" s="41" t="s">
        <v>44</v>
      </c>
      <c r="D84" s="41" t="s">
        <v>136</v>
      </c>
      <c r="E84" s="41">
        <v>62706</v>
      </c>
      <c r="F84" s="41"/>
      <c r="G84" s="41">
        <v>12541.2</v>
      </c>
    </row>
    <row r="85" spans="1:7" x14ac:dyDescent="0.25">
      <c r="A85" s="42">
        <v>2009</v>
      </c>
      <c r="B85" s="42" t="s">
        <v>104</v>
      </c>
      <c r="C85" s="42" t="s">
        <v>44</v>
      </c>
      <c r="D85" s="42" t="s">
        <v>123</v>
      </c>
      <c r="E85" s="42">
        <v>55597</v>
      </c>
      <c r="F85" s="42"/>
      <c r="G85" s="42">
        <v>11119.4</v>
      </c>
    </row>
    <row r="86" spans="1:7" x14ac:dyDescent="0.25">
      <c r="A86" s="41">
        <v>2009</v>
      </c>
      <c r="B86" s="41" t="s">
        <v>104</v>
      </c>
      <c r="C86" s="41" t="s">
        <v>44</v>
      </c>
      <c r="D86" s="41" t="s">
        <v>124</v>
      </c>
      <c r="E86" s="41">
        <v>47281</v>
      </c>
      <c r="F86" s="41"/>
      <c r="G86" s="41">
        <v>9456.2000000000007</v>
      </c>
    </row>
    <row r="87" spans="1:7" x14ac:dyDescent="0.25">
      <c r="A87" s="42">
        <v>2009</v>
      </c>
      <c r="B87" s="42" t="s">
        <v>104</v>
      </c>
      <c r="C87" s="42" t="s">
        <v>44</v>
      </c>
      <c r="D87" s="42" t="s">
        <v>125</v>
      </c>
      <c r="E87" s="42">
        <v>40964</v>
      </c>
      <c r="F87" s="42"/>
      <c r="G87" s="42">
        <v>8192.7999999999993</v>
      </c>
    </row>
    <row r="88" spans="1:7" x14ac:dyDescent="0.25">
      <c r="A88" s="41">
        <v>2009</v>
      </c>
      <c r="B88" s="41" t="s">
        <v>104</v>
      </c>
      <c r="C88" s="41" t="s">
        <v>44</v>
      </c>
      <c r="D88" s="41" t="s">
        <v>126</v>
      </c>
      <c r="E88" s="41">
        <v>30412</v>
      </c>
      <c r="F88" s="41"/>
      <c r="G88" s="41">
        <v>6082.4</v>
      </c>
    </row>
    <row r="89" spans="1:7" x14ac:dyDescent="0.25">
      <c r="A89" s="42">
        <v>2009</v>
      </c>
      <c r="B89" s="42" t="s">
        <v>104</v>
      </c>
      <c r="C89" s="42" t="s">
        <v>44</v>
      </c>
      <c r="D89" s="42" t="s">
        <v>127</v>
      </c>
      <c r="E89" s="42">
        <v>21251</v>
      </c>
      <c r="F89" s="42"/>
      <c r="G89" s="42">
        <v>4250.2</v>
      </c>
    </row>
    <row r="90" spans="1:7" x14ac:dyDescent="0.25">
      <c r="A90" s="41">
        <v>2009</v>
      </c>
      <c r="B90" s="41" t="s">
        <v>104</v>
      </c>
      <c r="C90" s="41" t="s">
        <v>44</v>
      </c>
      <c r="D90" s="41" t="s">
        <v>128</v>
      </c>
      <c r="E90" s="41">
        <v>15145</v>
      </c>
      <c r="F90" s="41"/>
      <c r="G90" s="41">
        <v>3029</v>
      </c>
    </row>
    <row r="91" spans="1:7" x14ac:dyDescent="0.25">
      <c r="A91" s="42">
        <v>2009</v>
      </c>
      <c r="B91" s="42" t="s">
        <v>104</v>
      </c>
      <c r="C91" s="42" t="s">
        <v>44</v>
      </c>
      <c r="D91" s="42" t="s">
        <v>129</v>
      </c>
      <c r="E91" s="42">
        <v>13361</v>
      </c>
      <c r="F91" s="42"/>
      <c r="G91" s="42">
        <v>2672.2</v>
      </c>
    </row>
    <row r="92" spans="1:7" x14ac:dyDescent="0.25">
      <c r="A92" s="41">
        <v>2009</v>
      </c>
      <c r="B92" s="41" t="s">
        <v>104</v>
      </c>
      <c r="C92" s="41" t="s">
        <v>44</v>
      </c>
      <c r="D92" s="41" t="s">
        <v>130</v>
      </c>
      <c r="E92" s="41">
        <v>11251</v>
      </c>
      <c r="F92" s="41"/>
      <c r="G92" s="41">
        <v>2250.1999999999998</v>
      </c>
    </row>
    <row r="93" spans="1:7" x14ac:dyDescent="0.25">
      <c r="A93" s="42">
        <v>2009</v>
      </c>
      <c r="B93" s="42" t="s">
        <v>104</v>
      </c>
      <c r="C93" s="42" t="s">
        <v>44</v>
      </c>
      <c r="D93" s="42" t="s">
        <v>137</v>
      </c>
      <c r="E93" s="42">
        <v>8718</v>
      </c>
      <c r="F93" s="42"/>
      <c r="G93" s="42">
        <v>1743.6</v>
      </c>
    </row>
    <row r="94" spans="1:7" x14ac:dyDescent="0.25">
      <c r="A94" s="41">
        <v>2009</v>
      </c>
      <c r="B94" s="41" t="s">
        <v>104</v>
      </c>
      <c r="C94" s="41" t="s">
        <v>44</v>
      </c>
      <c r="D94" s="41" t="s">
        <v>138</v>
      </c>
      <c r="E94" s="41">
        <v>7054</v>
      </c>
      <c r="F94" s="41"/>
      <c r="G94" s="41">
        <v>1410.8</v>
      </c>
    </row>
    <row r="95" spans="1:7" x14ac:dyDescent="0.25">
      <c r="A95" s="42">
        <v>2009</v>
      </c>
      <c r="B95" s="42" t="s">
        <v>104</v>
      </c>
      <c r="C95" s="42" t="s">
        <v>44</v>
      </c>
      <c r="D95" s="42" t="s">
        <v>139</v>
      </c>
      <c r="E95" s="42">
        <v>4163</v>
      </c>
      <c r="F95" s="42"/>
      <c r="G95" s="42">
        <v>832.6</v>
      </c>
    </row>
    <row r="96" spans="1:7" x14ac:dyDescent="0.25">
      <c r="A96" s="41">
        <v>2009</v>
      </c>
      <c r="B96" s="41" t="s">
        <v>104</v>
      </c>
      <c r="C96" s="41" t="s">
        <v>44</v>
      </c>
      <c r="D96" s="41" t="s">
        <v>140</v>
      </c>
      <c r="E96" s="41">
        <v>3777</v>
      </c>
      <c r="F96" s="41"/>
      <c r="G96" s="41">
        <v>755.4</v>
      </c>
    </row>
    <row r="97" spans="1:7" x14ac:dyDescent="0.25">
      <c r="A97" s="42">
        <v>2009</v>
      </c>
      <c r="B97" s="42" t="s">
        <v>104</v>
      </c>
      <c r="C97" s="42" t="s">
        <v>44</v>
      </c>
      <c r="D97" s="42" t="s">
        <v>141</v>
      </c>
      <c r="E97" s="42">
        <v>2392</v>
      </c>
      <c r="F97" s="42"/>
      <c r="G97" s="42">
        <v>478.4</v>
      </c>
    </row>
    <row r="98" spans="1:7" x14ac:dyDescent="0.25">
      <c r="A98" s="41">
        <v>2009</v>
      </c>
      <c r="B98" s="41" t="s">
        <v>104</v>
      </c>
      <c r="C98" s="41" t="s">
        <v>44</v>
      </c>
      <c r="D98" s="41" t="s">
        <v>142</v>
      </c>
      <c r="E98" s="41">
        <v>2821</v>
      </c>
      <c r="F98" s="41"/>
      <c r="G98" s="41">
        <v>564.20000000000005</v>
      </c>
    </row>
    <row r="99" spans="1:7" x14ac:dyDescent="0.25">
      <c r="A99" s="42">
        <v>2009</v>
      </c>
      <c r="B99" s="42" t="s">
        <v>104</v>
      </c>
      <c r="C99" s="42" t="s">
        <v>43</v>
      </c>
      <c r="D99" s="42" t="s">
        <v>133</v>
      </c>
      <c r="E99" s="42">
        <v>16926</v>
      </c>
      <c r="F99" s="42"/>
      <c r="G99" s="42">
        <v>3385.2</v>
      </c>
    </row>
    <row r="100" spans="1:7" x14ac:dyDescent="0.25">
      <c r="A100" s="41">
        <v>2009</v>
      </c>
      <c r="B100" s="41" t="s">
        <v>104</v>
      </c>
      <c r="C100" s="41" t="s">
        <v>43</v>
      </c>
      <c r="D100" s="41" t="s">
        <v>134</v>
      </c>
      <c r="E100" s="41">
        <v>63172</v>
      </c>
      <c r="F100" s="41"/>
      <c r="G100" s="41">
        <v>12634.4</v>
      </c>
    </row>
    <row r="101" spans="1:7" x14ac:dyDescent="0.25">
      <c r="A101" s="42">
        <v>2009</v>
      </c>
      <c r="B101" s="42" t="s">
        <v>104</v>
      </c>
      <c r="C101" s="42" t="s">
        <v>43</v>
      </c>
      <c r="D101" s="42" t="s">
        <v>135</v>
      </c>
      <c r="E101" s="42">
        <v>67779</v>
      </c>
      <c r="F101" s="42"/>
      <c r="G101" s="42">
        <v>13555.8</v>
      </c>
    </row>
    <row r="102" spans="1:7" x14ac:dyDescent="0.25">
      <c r="A102" s="41">
        <v>2009</v>
      </c>
      <c r="B102" s="41" t="s">
        <v>104</v>
      </c>
      <c r="C102" s="41" t="s">
        <v>43</v>
      </c>
      <c r="D102" s="41" t="s">
        <v>136</v>
      </c>
      <c r="E102" s="41">
        <v>63359</v>
      </c>
      <c r="F102" s="41"/>
      <c r="G102" s="41">
        <v>12671.8</v>
      </c>
    </row>
    <row r="103" spans="1:7" x14ac:dyDescent="0.25">
      <c r="A103" s="42">
        <v>2009</v>
      </c>
      <c r="B103" s="42" t="s">
        <v>104</v>
      </c>
      <c r="C103" s="42" t="s">
        <v>43</v>
      </c>
      <c r="D103" s="42" t="s">
        <v>123</v>
      </c>
      <c r="E103" s="42">
        <v>56741</v>
      </c>
      <c r="F103" s="42"/>
      <c r="G103" s="42">
        <v>11348.2</v>
      </c>
    </row>
    <row r="104" spans="1:7" x14ac:dyDescent="0.25">
      <c r="A104" s="41">
        <v>2009</v>
      </c>
      <c r="B104" s="41" t="s">
        <v>104</v>
      </c>
      <c r="C104" s="41" t="s">
        <v>43</v>
      </c>
      <c r="D104" s="41" t="s">
        <v>124</v>
      </c>
      <c r="E104" s="41">
        <v>57649</v>
      </c>
      <c r="F104" s="41"/>
      <c r="G104" s="41">
        <v>11529.8</v>
      </c>
    </row>
    <row r="105" spans="1:7" x14ac:dyDescent="0.25">
      <c r="A105" s="42">
        <v>2009</v>
      </c>
      <c r="B105" s="42" t="s">
        <v>104</v>
      </c>
      <c r="C105" s="42" t="s">
        <v>43</v>
      </c>
      <c r="D105" s="42" t="s">
        <v>125</v>
      </c>
      <c r="E105" s="42">
        <v>40614</v>
      </c>
      <c r="F105" s="42"/>
      <c r="G105" s="42">
        <v>8122.8</v>
      </c>
    </row>
    <row r="106" spans="1:7" x14ac:dyDescent="0.25">
      <c r="A106" s="41">
        <v>2009</v>
      </c>
      <c r="B106" s="41" t="s">
        <v>104</v>
      </c>
      <c r="C106" s="41" t="s">
        <v>43</v>
      </c>
      <c r="D106" s="41" t="s">
        <v>126</v>
      </c>
      <c r="E106" s="41">
        <v>27515</v>
      </c>
      <c r="F106" s="41"/>
      <c r="G106" s="41">
        <v>5503</v>
      </c>
    </row>
    <row r="107" spans="1:7" x14ac:dyDescent="0.25">
      <c r="A107" s="42">
        <v>2009</v>
      </c>
      <c r="B107" s="42" t="s">
        <v>104</v>
      </c>
      <c r="C107" s="42" t="s">
        <v>43</v>
      </c>
      <c r="D107" s="42" t="s">
        <v>127</v>
      </c>
      <c r="E107" s="42">
        <v>20611</v>
      </c>
      <c r="F107" s="42"/>
      <c r="G107" s="42">
        <v>4122.2</v>
      </c>
    </row>
    <row r="108" spans="1:7" x14ac:dyDescent="0.25">
      <c r="A108" s="41">
        <v>2009</v>
      </c>
      <c r="B108" s="41" t="s">
        <v>104</v>
      </c>
      <c r="C108" s="41" t="s">
        <v>43</v>
      </c>
      <c r="D108" s="41" t="s">
        <v>128</v>
      </c>
      <c r="E108" s="41">
        <v>16894</v>
      </c>
      <c r="F108" s="41"/>
      <c r="G108" s="41">
        <v>3378.8</v>
      </c>
    </row>
    <row r="109" spans="1:7" x14ac:dyDescent="0.25">
      <c r="A109" s="42">
        <v>2009</v>
      </c>
      <c r="B109" s="42" t="s">
        <v>104</v>
      </c>
      <c r="C109" s="42" t="s">
        <v>43</v>
      </c>
      <c r="D109" s="42" t="s">
        <v>129</v>
      </c>
      <c r="E109" s="42">
        <v>15298</v>
      </c>
      <c r="F109" s="42"/>
      <c r="G109" s="42">
        <v>3059.6</v>
      </c>
    </row>
    <row r="110" spans="1:7" x14ac:dyDescent="0.25">
      <c r="A110" s="41">
        <v>2009</v>
      </c>
      <c r="B110" s="41" t="s">
        <v>104</v>
      </c>
      <c r="C110" s="41" t="s">
        <v>43</v>
      </c>
      <c r="D110" s="41" t="s">
        <v>130</v>
      </c>
      <c r="E110" s="41">
        <v>12504</v>
      </c>
      <c r="F110" s="41"/>
      <c r="G110" s="41">
        <v>2500.8000000000002</v>
      </c>
    </row>
    <row r="111" spans="1:7" x14ac:dyDescent="0.25">
      <c r="A111" s="42">
        <v>2009</v>
      </c>
      <c r="B111" s="42" t="s">
        <v>104</v>
      </c>
      <c r="C111" s="42" t="s">
        <v>43</v>
      </c>
      <c r="D111" s="42" t="s">
        <v>137</v>
      </c>
      <c r="E111" s="42">
        <v>9175</v>
      </c>
      <c r="F111" s="42"/>
      <c r="G111" s="42">
        <v>1835</v>
      </c>
    </row>
    <row r="112" spans="1:7" x14ac:dyDescent="0.25">
      <c r="A112" s="41">
        <v>2009</v>
      </c>
      <c r="B112" s="41" t="s">
        <v>104</v>
      </c>
      <c r="C112" s="41" t="s">
        <v>43</v>
      </c>
      <c r="D112" s="41" t="s">
        <v>138</v>
      </c>
      <c r="E112" s="41">
        <v>7597</v>
      </c>
      <c r="F112" s="41"/>
      <c r="G112" s="41">
        <v>1519.4</v>
      </c>
    </row>
    <row r="113" spans="1:7" x14ac:dyDescent="0.25">
      <c r="A113" s="42">
        <v>2009</v>
      </c>
      <c r="B113" s="42" t="s">
        <v>104</v>
      </c>
      <c r="C113" s="42" t="s">
        <v>43</v>
      </c>
      <c r="D113" s="42" t="s">
        <v>139</v>
      </c>
      <c r="E113" s="42">
        <v>5402</v>
      </c>
      <c r="F113" s="42"/>
      <c r="G113" s="42">
        <v>1080.4000000000001</v>
      </c>
    </row>
    <row r="114" spans="1:7" x14ac:dyDescent="0.25">
      <c r="A114" s="41">
        <v>2009</v>
      </c>
      <c r="B114" s="41" t="s">
        <v>104</v>
      </c>
      <c r="C114" s="41" t="s">
        <v>43</v>
      </c>
      <c r="D114" s="41" t="s">
        <v>140</v>
      </c>
      <c r="E114" s="41">
        <v>4757</v>
      </c>
      <c r="F114" s="41"/>
      <c r="G114" s="41">
        <v>951.4</v>
      </c>
    </row>
    <row r="115" spans="1:7" x14ac:dyDescent="0.25">
      <c r="A115" s="42">
        <v>2009</v>
      </c>
      <c r="B115" s="42" t="s">
        <v>104</v>
      </c>
      <c r="C115" s="42" t="s">
        <v>43</v>
      </c>
      <c r="D115" s="42" t="s">
        <v>141</v>
      </c>
      <c r="E115" s="42">
        <v>3356</v>
      </c>
      <c r="F115" s="42"/>
      <c r="G115" s="42">
        <v>671.2</v>
      </c>
    </row>
    <row r="116" spans="1:7" x14ac:dyDescent="0.25">
      <c r="A116" s="41">
        <v>2009</v>
      </c>
      <c r="B116" s="41" t="s">
        <v>104</v>
      </c>
      <c r="C116" s="41" t="s">
        <v>43</v>
      </c>
      <c r="D116" s="41" t="s">
        <v>142</v>
      </c>
      <c r="E116" s="41">
        <v>4615</v>
      </c>
      <c r="F116" s="41"/>
      <c r="G116" s="41">
        <v>923</v>
      </c>
    </row>
    <row r="117" spans="1:7" x14ac:dyDescent="0.25">
      <c r="A117" s="42">
        <v>2009</v>
      </c>
      <c r="B117" s="42" t="s">
        <v>105</v>
      </c>
      <c r="C117" s="42" t="s">
        <v>44</v>
      </c>
      <c r="D117" s="42" t="s">
        <v>133</v>
      </c>
      <c r="E117" s="42">
        <v>19265</v>
      </c>
      <c r="F117" s="42"/>
      <c r="G117" s="42">
        <v>3853</v>
      </c>
    </row>
    <row r="118" spans="1:7" x14ac:dyDescent="0.25">
      <c r="A118" s="41">
        <v>2009</v>
      </c>
      <c r="B118" s="41" t="s">
        <v>105</v>
      </c>
      <c r="C118" s="41" t="s">
        <v>44</v>
      </c>
      <c r="D118" s="41" t="s">
        <v>134</v>
      </c>
      <c r="E118" s="41">
        <v>69921</v>
      </c>
      <c r="F118" s="41"/>
      <c r="G118" s="41">
        <v>13984.2</v>
      </c>
    </row>
    <row r="119" spans="1:7" x14ac:dyDescent="0.25">
      <c r="A119" s="42">
        <v>2009</v>
      </c>
      <c r="B119" s="42" t="s">
        <v>105</v>
      </c>
      <c r="C119" s="42" t="s">
        <v>44</v>
      </c>
      <c r="D119" s="42" t="s">
        <v>135</v>
      </c>
      <c r="E119" s="42">
        <v>73872</v>
      </c>
      <c r="F119" s="42"/>
      <c r="G119" s="42">
        <v>14774.4</v>
      </c>
    </row>
    <row r="120" spans="1:7" x14ac:dyDescent="0.25">
      <c r="A120" s="41">
        <v>2009</v>
      </c>
      <c r="B120" s="41" t="s">
        <v>105</v>
      </c>
      <c r="C120" s="41" t="s">
        <v>44</v>
      </c>
      <c r="D120" s="41" t="s">
        <v>136</v>
      </c>
      <c r="E120" s="41">
        <v>64300</v>
      </c>
      <c r="F120" s="41"/>
      <c r="G120" s="41">
        <v>12860</v>
      </c>
    </row>
    <row r="121" spans="1:7" x14ac:dyDescent="0.25">
      <c r="A121" s="42">
        <v>2009</v>
      </c>
      <c r="B121" s="42" t="s">
        <v>105</v>
      </c>
      <c r="C121" s="42" t="s">
        <v>44</v>
      </c>
      <c r="D121" s="42" t="s">
        <v>123</v>
      </c>
      <c r="E121" s="42">
        <v>53075</v>
      </c>
      <c r="F121" s="42"/>
      <c r="G121" s="42">
        <v>10615</v>
      </c>
    </row>
    <row r="122" spans="1:7" x14ac:dyDescent="0.25">
      <c r="A122" s="41">
        <v>2009</v>
      </c>
      <c r="B122" s="41" t="s">
        <v>105</v>
      </c>
      <c r="C122" s="41" t="s">
        <v>44</v>
      </c>
      <c r="D122" s="41" t="s">
        <v>124</v>
      </c>
      <c r="E122" s="41">
        <v>38690</v>
      </c>
      <c r="F122" s="41"/>
      <c r="G122" s="41">
        <v>7738</v>
      </c>
    </row>
    <row r="123" spans="1:7" x14ac:dyDescent="0.25">
      <c r="A123" s="42">
        <v>2009</v>
      </c>
      <c r="B123" s="42" t="s">
        <v>105</v>
      </c>
      <c r="C123" s="42" t="s">
        <v>44</v>
      </c>
      <c r="D123" s="42" t="s">
        <v>125</v>
      </c>
      <c r="E123" s="42">
        <v>30727</v>
      </c>
      <c r="F123" s="42"/>
      <c r="G123" s="42">
        <v>6145.4</v>
      </c>
    </row>
    <row r="124" spans="1:7" x14ac:dyDescent="0.25">
      <c r="A124" s="41">
        <v>2009</v>
      </c>
      <c r="B124" s="41" t="s">
        <v>105</v>
      </c>
      <c r="C124" s="41" t="s">
        <v>44</v>
      </c>
      <c r="D124" s="41" t="s">
        <v>126</v>
      </c>
      <c r="E124" s="41">
        <v>23344</v>
      </c>
      <c r="F124" s="41"/>
      <c r="G124" s="41">
        <v>4668.8</v>
      </c>
    </row>
    <row r="125" spans="1:7" x14ac:dyDescent="0.25">
      <c r="A125" s="42">
        <v>2009</v>
      </c>
      <c r="B125" s="42" t="s">
        <v>105</v>
      </c>
      <c r="C125" s="42" t="s">
        <v>44</v>
      </c>
      <c r="D125" s="42" t="s">
        <v>127</v>
      </c>
      <c r="E125" s="42">
        <v>17024</v>
      </c>
      <c r="F125" s="42"/>
      <c r="G125" s="42">
        <v>3404.8</v>
      </c>
    </row>
    <row r="126" spans="1:7" x14ac:dyDescent="0.25">
      <c r="A126" s="41">
        <v>2009</v>
      </c>
      <c r="B126" s="41" t="s">
        <v>105</v>
      </c>
      <c r="C126" s="41" t="s">
        <v>44</v>
      </c>
      <c r="D126" s="41" t="s">
        <v>128</v>
      </c>
      <c r="E126" s="41">
        <v>12170</v>
      </c>
      <c r="F126" s="41"/>
      <c r="G126" s="41">
        <v>2434</v>
      </c>
    </row>
    <row r="127" spans="1:7" x14ac:dyDescent="0.25">
      <c r="A127" s="42">
        <v>2009</v>
      </c>
      <c r="B127" s="42" t="s">
        <v>105</v>
      </c>
      <c r="C127" s="42" t="s">
        <v>44</v>
      </c>
      <c r="D127" s="42" t="s">
        <v>129</v>
      </c>
      <c r="E127" s="42">
        <v>10549</v>
      </c>
      <c r="F127" s="42"/>
      <c r="G127" s="42">
        <v>2109.8000000000002</v>
      </c>
    </row>
    <row r="128" spans="1:7" x14ac:dyDescent="0.25">
      <c r="A128" s="41">
        <v>2009</v>
      </c>
      <c r="B128" s="41" t="s">
        <v>105</v>
      </c>
      <c r="C128" s="41" t="s">
        <v>44</v>
      </c>
      <c r="D128" s="41" t="s">
        <v>130</v>
      </c>
      <c r="E128" s="41">
        <v>8565</v>
      </c>
      <c r="F128" s="41"/>
      <c r="G128" s="41">
        <v>1713</v>
      </c>
    </row>
    <row r="129" spans="1:7" x14ac:dyDescent="0.25">
      <c r="A129" s="42">
        <v>2009</v>
      </c>
      <c r="B129" s="42" t="s">
        <v>105</v>
      </c>
      <c r="C129" s="42" t="s">
        <v>44</v>
      </c>
      <c r="D129" s="42" t="s">
        <v>137</v>
      </c>
      <c r="E129" s="42">
        <v>6399</v>
      </c>
      <c r="F129" s="42"/>
      <c r="G129" s="42">
        <v>1279.8</v>
      </c>
    </row>
    <row r="130" spans="1:7" x14ac:dyDescent="0.25">
      <c r="A130" s="41">
        <v>2009</v>
      </c>
      <c r="B130" s="41" t="s">
        <v>105</v>
      </c>
      <c r="C130" s="41" t="s">
        <v>44</v>
      </c>
      <c r="D130" s="41" t="s">
        <v>138</v>
      </c>
      <c r="E130" s="41">
        <v>5250</v>
      </c>
      <c r="F130" s="41"/>
      <c r="G130" s="41">
        <v>1050</v>
      </c>
    </row>
    <row r="131" spans="1:7" x14ac:dyDescent="0.25">
      <c r="A131" s="42">
        <v>2009</v>
      </c>
      <c r="B131" s="42" t="s">
        <v>105</v>
      </c>
      <c r="C131" s="42" t="s">
        <v>44</v>
      </c>
      <c r="D131" s="42" t="s">
        <v>139</v>
      </c>
      <c r="E131" s="42">
        <v>3382</v>
      </c>
      <c r="F131" s="42"/>
      <c r="G131" s="42">
        <v>676.4</v>
      </c>
    </row>
    <row r="132" spans="1:7" x14ac:dyDescent="0.25">
      <c r="A132" s="41">
        <v>2009</v>
      </c>
      <c r="B132" s="41" t="s">
        <v>105</v>
      </c>
      <c r="C132" s="41" t="s">
        <v>44</v>
      </c>
      <c r="D132" s="41" t="s">
        <v>140</v>
      </c>
      <c r="E132" s="41">
        <v>2907</v>
      </c>
      <c r="F132" s="41"/>
      <c r="G132" s="41">
        <v>581.4</v>
      </c>
    </row>
    <row r="133" spans="1:7" x14ac:dyDescent="0.25">
      <c r="A133" s="42">
        <v>2009</v>
      </c>
      <c r="B133" s="42" t="s">
        <v>105</v>
      </c>
      <c r="C133" s="42" t="s">
        <v>44</v>
      </c>
      <c r="D133" s="42" t="s">
        <v>141</v>
      </c>
      <c r="E133" s="42">
        <v>2033</v>
      </c>
      <c r="F133" s="42"/>
      <c r="G133" s="42">
        <v>406.6</v>
      </c>
    </row>
    <row r="134" spans="1:7" x14ac:dyDescent="0.25">
      <c r="A134" s="41">
        <v>2009</v>
      </c>
      <c r="B134" s="41" t="s">
        <v>105</v>
      </c>
      <c r="C134" s="41" t="s">
        <v>44</v>
      </c>
      <c r="D134" s="41" t="s">
        <v>142</v>
      </c>
      <c r="E134" s="41">
        <v>2624</v>
      </c>
      <c r="F134" s="41"/>
      <c r="G134" s="41">
        <v>524.79999999999995</v>
      </c>
    </row>
    <row r="135" spans="1:7" x14ac:dyDescent="0.25">
      <c r="A135" s="42">
        <v>2009</v>
      </c>
      <c r="B135" s="42" t="s">
        <v>105</v>
      </c>
      <c r="C135" s="42" t="s">
        <v>43</v>
      </c>
      <c r="D135" s="42" t="s">
        <v>133</v>
      </c>
      <c r="E135" s="42">
        <v>19309</v>
      </c>
      <c r="F135" s="42"/>
      <c r="G135" s="42">
        <v>3861.8</v>
      </c>
    </row>
    <row r="136" spans="1:7" x14ac:dyDescent="0.25">
      <c r="A136" s="41">
        <v>2009</v>
      </c>
      <c r="B136" s="41" t="s">
        <v>105</v>
      </c>
      <c r="C136" s="41" t="s">
        <v>43</v>
      </c>
      <c r="D136" s="41" t="s">
        <v>134</v>
      </c>
      <c r="E136" s="41">
        <v>69519</v>
      </c>
      <c r="F136" s="41"/>
      <c r="G136" s="41">
        <v>13903.8</v>
      </c>
    </row>
    <row r="137" spans="1:7" x14ac:dyDescent="0.25">
      <c r="A137" s="42">
        <v>2009</v>
      </c>
      <c r="B137" s="42" t="s">
        <v>105</v>
      </c>
      <c r="C137" s="42" t="s">
        <v>43</v>
      </c>
      <c r="D137" s="42" t="s">
        <v>135</v>
      </c>
      <c r="E137" s="42">
        <v>74333</v>
      </c>
      <c r="F137" s="42"/>
      <c r="G137" s="42">
        <v>14866.6</v>
      </c>
    </row>
    <row r="138" spans="1:7" x14ac:dyDescent="0.25">
      <c r="A138" s="41">
        <v>2009</v>
      </c>
      <c r="B138" s="41" t="s">
        <v>105</v>
      </c>
      <c r="C138" s="41" t="s">
        <v>43</v>
      </c>
      <c r="D138" s="41" t="s">
        <v>136</v>
      </c>
      <c r="E138" s="41">
        <v>63249</v>
      </c>
      <c r="F138" s="41"/>
      <c r="G138" s="41">
        <v>12649.8</v>
      </c>
    </row>
    <row r="139" spans="1:7" x14ac:dyDescent="0.25">
      <c r="A139" s="42">
        <v>2009</v>
      </c>
      <c r="B139" s="42" t="s">
        <v>105</v>
      </c>
      <c r="C139" s="42" t="s">
        <v>43</v>
      </c>
      <c r="D139" s="42" t="s">
        <v>123</v>
      </c>
      <c r="E139" s="42">
        <v>52238</v>
      </c>
      <c r="F139" s="42"/>
      <c r="G139" s="42">
        <v>10447.6</v>
      </c>
    </row>
    <row r="140" spans="1:7" x14ac:dyDescent="0.25">
      <c r="A140" s="41">
        <v>2009</v>
      </c>
      <c r="B140" s="41" t="s">
        <v>105</v>
      </c>
      <c r="C140" s="41" t="s">
        <v>43</v>
      </c>
      <c r="D140" s="41" t="s">
        <v>124</v>
      </c>
      <c r="E140" s="41">
        <v>48004</v>
      </c>
      <c r="F140" s="41"/>
      <c r="G140" s="41">
        <v>9600.7999999999993</v>
      </c>
    </row>
    <row r="141" spans="1:7" x14ac:dyDescent="0.25">
      <c r="A141" s="42">
        <v>2009</v>
      </c>
      <c r="B141" s="42" t="s">
        <v>105</v>
      </c>
      <c r="C141" s="42" t="s">
        <v>43</v>
      </c>
      <c r="D141" s="42" t="s">
        <v>125</v>
      </c>
      <c r="E141" s="42">
        <v>34670</v>
      </c>
      <c r="F141" s="42"/>
      <c r="G141" s="42">
        <v>6934</v>
      </c>
    </row>
    <row r="142" spans="1:7" x14ac:dyDescent="0.25">
      <c r="A142" s="41">
        <v>2009</v>
      </c>
      <c r="B142" s="41" t="s">
        <v>105</v>
      </c>
      <c r="C142" s="41" t="s">
        <v>43</v>
      </c>
      <c r="D142" s="41" t="s">
        <v>126</v>
      </c>
      <c r="E142" s="41">
        <v>25630</v>
      </c>
      <c r="F142" s="41"/>
      <c r="G142" s="41">
        <v>5126</v>
      </c>
    </row>
    <row r="143" spans="1:7" x14ac:dyDescent="0.25">
      <c r="A143" s="42">
        <v>2009</v>
      </c>
      <c r="B143" s="42" t="s">
        <v>105</v>
      </c>
      <c r="C143" s="42" t="s">
        <v>43</v>
      </c>
      <c r="D143" s="42" t="s">
        <v>127</v>
      </c>
      <c r="E143" s="42">
        <v>19313</v>
      </c>
      <c r="F143" s="42"/>
      <c r="G143" s="42">
        <v>3862.6</v>
      </c>
    </row>
    <row r="144" spans="1:7" x14ac:dyDescent="0.25">
      <c r="A144" s="41">
        <v>2009</v>
      </c>
      <c r="B144" s="41" t="s">
        <v>105</v>
      </c>
      <c r="C144" s="41" t="s">
        <v>43</v>
      </c>
      <c r="D144" s="41" t="s">
        <v>128</v>
      </c>
      <c r="E144" s="41">
        <v>14773</v>
      </c>
      <c r="F144" s="41"/>
      <c r="G144" s="41">
        <v>2954.6</v>
      </c>
    </row>
    <row r="145" spans="1:7" x14ac:dyDescent="0.25">
      <c r="A145" s="42">
        <v>2009</v>
      </c>
      <c r="B145" s="42" t="s">
        <v>105</v>
      </c>
      <c r="C145" s="42" t="s">
        <v>43</v>
      </c>
      <c r="D145" s="42" t="s">
        <v>129</v>
      </c>
      <c r="E145" s="42">
        <v>12888</v>
      </c>
      <c r="F145" s="42"/>
      <c r="G145" s="42">
        <v>2577.6</v>
      </c>
    </row>
    <row r="146" spans="1:7" x14ac:dyDescent="0.25">
      <c r="A146" s="41">
        <v>2009</v>
      </c>
      <c r="B146" s="41" t="s">
        <v>105</v>
      </c>
      <c r="C146" s="41" t="s">
        <v>43</v>
      </c>
      <c r="D146" s="41" t="s">
        <v>130</v>
      </c>
      <c r="E146" s="41">
        <v>10314</v>
      </c>
      <c r="F146" s="41"/>
      <c r="G146" s="41">
        <v>2062.8000000000002</v>
      </c>
    </row>
    <row r="147" spans="1:7" x14ac:dyDescent="0.25">
      <c r="A147" s="42">
        <v>2009</v>
      </c>
      <c r="B147" s="42" t="s">
        <v>105</v>
      </c>
      <c r="C147" s="42" t="s">
        <v>43</v>
      </c>
      <c r="D147" s="42" t="s">
        <v>137</v>
      </c>
      <c r="E147" s="42">
        <v>7692</v>
      </c>
      <c r="F147" s="42"/>
      <c r="G147" s="42">
        <v>1538.4</v>
      </c>
    </row>
    <row r="148" spans="1:7" x14ac:dyDescent="0.25">
      <c r="A148" s="41">
        <v>2009</v>
      </c>
      <c r="B148" s="41" t="s">
        <v>105</v>
      </c>
      <c r="C148" s="41" t="s">
        <v>43</v>
      </c>
      <c r="D148" s="41" t="s">
        <v>138</v>
      </c>
      <c r="E148" s="41">
        <v>6000</v>
      </c>
      <c r="F148" s="41"/>
      <c r="G148" s="41">
        <v>1200</v>
      </c>
    </row>
    <row r="149" spans="1:7" x14ac:dyDescent="0.25">
      <c r="A149" s="42">
        <v>2009</v>
      </c>
      <c r="B149" s="42" t="s">
        <v>105</v>
      </c>
      <c r="C149" s="42" t="s">
        <v>43</v>
      </c>
      <c r="D149" s="42" t="s">
        <v>139</v>
      </c>
      <c r="E149" s="42">
        <v>4508</v>
      </c>
      <c r="F149" s="42"/>
      <c r="G149" s="42">
        <v>901.6</v>
      </c>
    </row>
    <row r="150" spans="1:7" x14ac:dyDescent="0.25">
      <c r="A150" s="41">
        <v>2009</v>
      </c>
      <c r="B150" s="41" t="s">
        <v>105</v>
      </c>
      <c r="C150" s="41" t="s">
        <v>43</v>
      </c>
      <c r="D150" s="41" t="s">
        <v>140</v>
      </c>
      <c r="E150" s="41">
        <v>3524</v>
      </c>
      <c r="F150" s="41"/>
      <c r="G150" s="41">
        <v>704.8</v>
      </c>
    </row>
    <row r="151" spans="1:7" x14ac:dyDescent="0.25">
      <c r="A151" s="42">
        <v>2009</v>
      </c>
      <c r="B151" s="42" t="s">
        <v>105</v>
      </c>
      <c r="C151" s="42" t="s">
        <v>43</v>
      </c>
      <c r="D151" s="42" t="s">
        <v>141</v>
      </c>
      <c r="E151" s="42">
        <v>2968</v>
      </c>
      <c r="F151" s="42"/>
      <c r="G151" s="42">
        <v>593.6</v>
      </c>
    </row>
    <row r="152" spans="1:7" x14ac:dyDescent="0.25">
      <c r="A152" s="41">
        <v>2009</v>
      </c>
      <c r="B152" s="41" t="s">
        <v>105</v>
      </c>
      <c r="C152" s="41" t="s">
        <v>43</v>
      </c>
      <c r="D152" s="41" t="s">
        <v>142</v>
      </c>
      <c r="E152" s="41">
        <v>3636</v>
      </c>
      <c r="F152" s="41"/>
      <c r="G152" s="41">
        <v>727.2</v>
      </c>
    </row>
    <row r="153" spans="1:7" x14ac:dyDescent="0.25">
      <c r="A153" s="42">
        <v>2009</v>
      </c>
      <c r="B153" s="42" t="s">
        <v>106</v>
      </c>
      <c r="C153" s="42" t="s">
        <v>44</v>
      </c>
      <c r="D153" s="42" t="s">
        <v>133</v>
      </c>
      <c r="E153" s="42">
        <v>10313</v>
      </c>
      <c r="F153" s="42"/>
      <c r="G153" s="42">
        <v>2062.6</v>
      </c>
    </row>
    <row r="154" spans="1:7" x14ac:dyDescent="0.25">
      <c r="A154" s="41">
        <v>2009</v>
      </c>
      <c r="B154" s="41" t="s">
        <v>106</v>
      </c>
      <c r="C154" s="41" t="s">
        <v>44</v>
      </c>
      <c r="D154" s="41" t="s">
        <v>134</v>
      </c>
      <c r="E154" s="41">
        <v>41165</v>
      </c>
      <c r="F154" s="41"/>
      <c r="G154" s="41">
        <v>8233</v>
      </c>
    </row>
    <row r="155" spans="1:7" x14ac:dyDescent="0.25">
      <c r="A155" s="42">
        <v>2009</v>
      </c>
      <c r="B155" s="42" t="s">
        <v>106</v>
      </c>
      <c r="C155" s="42" t="s">
        <v>44</v>
      </c>
      <c r="D155" s="42" t="s">
        <v>135</v>
      </c>
      <c r="E155" s="42">
        <v>46450</v>
      </c>
      <c r="F155" s="42"/>
      <c r="G155" s="42">
        <v>9290</v>
      </c>
    </row>
    <row r="156" spans="1:7" x14ac:dyDescent="0.25">
      <c r="A156" s="41">
        <v>2009</v>
      </c>
      <c r="B156" s="41" t="s">
        <v>106</v>
      </c>
      <c r="C156" s="41" t="s">
        <v>44</v>
      </c>
      <c r="D156" s="41" t="s">
        <v>136</v>
      </c>
      <c r="E156" s="41">
        <v>42590</v>
      </c>
      <c r="F156" s="41"/>
      <c r="G156" s="41">
        <v>8518</v>
      </c>
    </row>
    <row r="157" spans="1:7" x14ac:dyDescent="0.25">
      <c r="A157" s="42">
        <v>2009</v>
      </c>
      <c r="B157" s="42" t="s">
        <v>106</v>
      </c>
      <c r="C157" s="42" t="s">
        <v>44</v>
      </c>
      <c r="D157" s="42" t="s">
        <v>123</v>
      </c>
      <c r="E157" s="42">
        <v>36604</v>
      </c>
      <c r="F157" s="42"/>
      <c r="G157" s="42">
        <v>7320.8</v>
      </c>
    </row>
    <row r="158" spans="1:7" x14ac:dyDescent="0.25">
      <c r="A158" s="41">
        <v>2009</v>
      </c>
      <c r="B158" s="41" t="s">
        <v>106</v>
      </c>
      <c r="C158" s="41" t="s">
        <v>44</v>
      </c>
      <c r="D158" s="41" t="s">
        <v>124</v>
      </c>
      <c r="E158" s="41">
        <v>24409</v>
      </c>
      <c r="F158" s="41"/>
      <c r="G158" s="41">
        <v>4881.8</v>
      </c>
    </row>
    <row r="159" spans="1:7" x14ac:dyDescent="0.25">
      <c r="A159" s="42">
        <v>2009</v>
      </c>
      <c r="B159" s="42" t="s">
        <v>106</v>
      </c>
      <c r="C159" s="42" t="s">
        <v>44</v>
      </c>
      <c r="D159" s="42" t="s">
        <v>125</v>
      </c>
      <c r="E159" s="42">
        <v>19515</v>
      </c>
      <c r="F159" s="42"/>
      <c r="G159" s="42">
        <v>3903</v>
      </c>
    </row>
    <row r="160" spans="1:7" x14ac:dyDescent="0.25">
      <c r="A160" s="41">
        <v>2009</v>
      </c>
      <c r="B160" s="41" t="s">
        <v>106</v>
      </c>
      <c r="C160" s="41" t="s">
        <v>44</v>
      </c>
      <c r="D160" s="41" t="s">
        <v>126</v>
      </c>
      <c r="E160" s="41">
        <v>16605</v>
      </c>
      <c r="F160" s="41"/>
      <c r="G160" s="41">
        <v>3321</v>
      </c>
    </row>
    <row r="161" spans="1:7" x14ac:dyDescent="0.25">
      <c r="A161" s="42">
        <v>2009</v>
      </c>
      <c r="B161" s="42" t="s">
        <v>106</v>
      </c>
      <c r="C161" s="42" t="s">
        <v>44</v>
      </c>
      <c r="D161" s="42" t="s">
        <v>127</v>
      </c>
      <c r="E161" s="42">
        <v>14039</v>
      </c>
      <c r="F161" s="42"/>
      <c r="G161" s="42">
        <v>2807.8</v>
      </c>
    </row>
    <row r="162" spans="1:7" x14ac:dyDescent="0.25">
      <c r="A162" s="41">
        <v>2009</v>
      </c>
      <c r="B162" s="41" t="s">
        <v>106</v>
      </c>
      <c r="C162" s="41" t="s">
        <v>44</v>
      </c>
      <c r="D162" s="41" t="s">
        <v>128</v>
      </c>
      <c r="E162" s="41">
        <v>10470</v>
      </c>
      <c r="F162" s="41"/>
      <c r="G162" s="41">
        <v>2094</v>
      </c>
    </row>
    <row r="163" spans="1:7" x14ac:dyDescent="0.25">
      <c r="A163" s="42">
        <v>2009</v>
      </c>
      <c r="B163" s="42" t="s">
        <v>106</v>
      </c>
      <c r="C163" s="42" t="s">
        <v>44</v>
      </c>
      <c r="D163" s="42" t="s">
        <v>129</v>
      </c>
      <c r="E163" s="42">
        <v>11318</v>
      </c>
      <c r="F163" s="42"/>
      <c r="G163" s="42">
        <v>2263.6</v>
      </c>
    </row>
    <row r="164" spans="1:7" x14ac:dyDescent="0.25">
      <c r="A164" s="41">
        <v>2009</v>
      </c>
      <c r="B164" s="41" t="s">
        <v>106</v>
      </c>
      <c r="C164" s="41" t="s">
        <v>44</v>
      </c>
      <c r="D164" s="41" t="s">
        <v>130</v>
      </c>
      <c r="E164" s="41">
        <v>8379</v>
      </c>
      <c r="F164" s="41"/>
      <c r="G164" s="41">
        <v>1675.8</v>
      </c>
    </row>
    <row r="165" spans="1:7" x14ac:dyDescent="0.25">
      <c r="A165" s="42">
        <v>2009</v>
      </c>
      <c r="B165" s="42" t="s">
        <v>106</v>
      </c>
      <c r="C165" s="42" t="s">
        <v>44</v>
      </c>
      <c r="D165" s="42" t="s">
        <v>137</v>
      </c>
      <c r="E165" s="42">
        <v>5999</v>
      </c>
      <c r="F165" s="42"/>
      <c r="G165" s="42">
        <v>1199.8</v>
      </c>
    </row>
    <row r="166" spans="1:7" x14ac:dyDescent="0.25">
      <c r="A166" s="41">
        <v>2009</v>
      </c>
      <c r="B166" s="41" t="s">
        <v>106</v>
      </c>
      <c r="C166" s="41" t="s">
        <v>44</v>
      </c>
      <c r="D166" s="41" t="s">
        <v>138</v>
      </c>
      <c r="E166" s="41">
        <v>5026</v>
      </c>
      <c r="F166" s="41"/>
      <c r="G166" s="41">
        <v>1005.2</v>
      </c>
    </row>
    <row r="167" spans="1:7" x14ac:dyDescent="0.25">
      <c r="A167" s="42">
        <v>2009</v>
      </c>
      <c r="B167" s="42" t="s">
        <v>106</v>
      </c>
      <c r="C167" s="42" t="s">
        <v>44</v>
      </c>
      <c r="D167" s="42" t="s">
        <v>139</v>
      </c>
      <c r="E167" s="42">
        <v>3094</v>
      </c>
      <c r="F167" s="42"/>
      <c r="G167" s="42">
        <v>618.79999999999995</v>
      </c>
    </row>
    <row r="168" spans="1:7" x14ac:dyDescent="0.25">
      <c r="A168" s="41">
        <v>2009</v>
      </c>
      <c r="B168" s="41" t="s">
        <v>106</v>
      </c>
      <c r="C168" s="41" t="s">
        <v>44</v>
      </c>
      <c r="D168" s="41" t="s">
        <v>140</v>
      </c>
      <c r="E168" s="41">
        <v>2753</v>
      </c>
      <c r="F168" s="41"/>
      <c r="G168" s="41">
        <v>550.6</v>
      </c>
    </row>
    <row r="169" spans="1:7" x14ac:dyDescent="0.25">
      <c r="A169" s="42">
        <v>2009</v>
      </c>
      <c r="B169" s="42" t="s">
        <v>106</v>
      </c>
      <c r="C169" s="42" t="s">
        <v>44</v>
      </c>
      <c r="D169" s="42" t="s">
        <v>141</v>
      </c>
      <c r="E169" s="42">
        <v>1778</v>
      </c>
      <c r="F169" s="42"/>
      <c r="G169" s="42">
        <v>355.6</v>
      </c>
    </row>
    <row r="170" spans="1:7" x14ac:dyDescent="0.25">
      <c r="A170" s="41">
        <v>2009</v>
      </c>
      <c r="B170" s="41" t="s">
        <v>106</v>
      </c>
      <c r="C170" s="41" t="s">
        <v>44</v>
      </c>
      <c r="D170" s="41" t="s">
        <v>142</v>
      </c>
      <c r="E170" s="41">
        <v>2393</v>
      </c>
      <c r="F170" s="41"/>
      <c r="G170" s="41">
        <v>478.6</v>
      </c>
    </row>
    <row r="171" spans="1:7" x14ac:dyDescent="0.25">
      <c r="A171" s="42">
        <v>2009</v>
      </c>
      <c r="B171" s="42" t="s">
        <v>106</v>
      </c>
      <c r="C171" s="42" t="s">
        <v>43</v>
      </c>
      <c r="D171" s="42" t="s">
        <v>133</v>
      </c>
      <c r="E171" s="42">
        <v>10263</v>
      </c>
      <c r="F171" s="42"/>
      <c r="G171" s="42">
        <v>2052.6</v>
      </c>
    </row>
    <row r="172" spans="1:7" x14ac:dyDescent="0.25">
      <c r="A172" s="41">
        <v>2009</v>
      </c>
      <c r="B172" s="41" t="s">
        <v>106</v>
      </c>
      <c r="C172" s="41" t="s">
        <v>43</v>
      </c>
      <c r="D172" s="41" t="s">
        <v>134</v>
      </c>
      <c r="E172" s="41">
        <v>40396</v>
      </c>
      <c r="F172" s="41"/>
      <c r="G172" s="41">
        <v>8079.2</v>
      </c>
    </row>
    <row r="173" spans="1:7" x14ac:dyDescent="0.25">
      <c r="A173" s="42">
        <v>2009</v>
      </c>
      <c r="B173" s="42" t="s">
        <v>106</v>
      </c>
      <c r="C173" s="42" t="s">
        <v>43</v>
      </c>
      <c r="D173" s="42" t="s">
        <v>135</v>
      </c>
      <c r="E173" s="42">
        <v>46867</v>
      </c>
      <c r="F173" s="42"/>
      <c r="G173" s="42">
        <v>9373.4</v>
      </c>
    </row>
    <row r="174" spans="1:7" x14ac:dyDescent="0.25">
      <c r="A174" s="41">
        <v>2009</v>
      </c>
      <c r="B174" s="41" t="s">
        <v>106</v>
      </c>
      <c r="C174" s="41" t="s">
        <v>43</v>
      </c>
      <c r="D174" s="41" t="s">
        <v>136</v>
      </c>
      <c r="E174" s="41">
        <v>42198</v>
      </c>
      <c r="F174" s="41"/>
      <c r="G174" s="41">
        <v>8439.6</v>
      </c>
    </row>
    <row r="175" spans="1:7" x14ac:dyDescent="0.25">
      <c r="A175" s="42">
        <v>2009</v>
      </c>
      <c r="B175" s="42" t="s">
        <v>106</v>
      </c>
      <c r="C175" s="42" t="s">
        <v>43</v>
      </c>
      <c r="D175" s="42" t="s">
        <v>123</v>
      </c>
      <c r="E175" s="42">
        <v>36786</v>
      </c>
      <c r="F175" s="42"/>
      <c r="G175" s="42">
        <v>7357.2</v>
      </c>
    </row>
    <row r="176" spans="1:7" x14ac:dyDescent="0.25">
      <c r="A176" s="41">
        <v>2009</v>
      </c>
      <c r="B176" s="41" t="s">
        <v>106</v>
      </c>
      <c r="C176" s="41" t="s">
        <v>43</v>
      </c>
      <c r="D176" s="41" t="s">
        <v>124</v>
      </c>
      <c r="E176" s="41">
        <v>34184</v>
      </c>
      <c r="F176" s="41"/>
      <c r="G176" s="41">
        <v>6836.8</v>
      </c>
    </row>
    <row r="177" spans="1:7" x14ac:dyDescent="0.25">
      <c r="A177" s="42">
        <v>2009</v>
      </c>
      <c r="B177" s="42" t="s">
        <v>106</v>
      </c>
      <c r="C177" s="42" t="s">
        <v>43</v>
      </c>
      <c r="D177" s="42" t="s">
        <v>125</v>
      </c>
      <c r="E177" s="42">
        <v>27273</v>
      </c>
      <c r="F177" s="42"/>
      <c r="G177" s="42">
        <v>5454.6</v>
      </c>
    </row>
    <row r="178" spans="1:7" x14ac:dyDescent="0.25">
      <c r="A178" s="41">
        <v>2009</v>
      </c>
      <c r="B178" s="41" t="s">
        <v>106</v>
      </c>
      <c r="C178" s="41" t="s">
        <v>43</v>
      </c>
      <c r="D178" s="41" t="s">
        <v>126</v>
      </c>
      <c r="E178" s="41">
        <v>19487</v>
      </c>
      <c r="F178" s="41"/>
      <c r="G178" s="41">
        <v>3897.4</v>
      </c>
    </row>
    <row r="179" spans="1:7" x14ac:dyDescent="0.25">
      <c r="A179" s="42">
        <v>2009</v>
      </c>
      <c r="B179" s="42" t="s">
        <v>106</v>
      </c>
      <c r="C179" s="42" t="s">
        <v>43</v>
      </c>
      <c r="D179" s="42" t="s">
        <v>127</v>
      </c>
      <c r="E179" s="42">
        <v>17106</v>
      </c>
      <c r="F179" s="42"/>
      <c r="G179" s="42">
        <v>3421.2</v>
      </c>
    </row>
    <row r="180" spans="1:7" x14ac:dyDescent="0.25">
      <c r="A180" s="41">
        <v>2009</v>
      </c>
      <c r="B180" s="41" t="s">
        <v>106</v>
      </c>
      <c r="C180" s="41" t="s">
        <v>43</v>
      </c>
      <c r="D180" s="41" t="s">
        <v>128</v>
      </c>
      <c r="E180" s="41">
        <v>11377</v>
      </c>
      <c r="F180" s="41"/>
      <c r="G180" s="41">
        <v>2275.4</v>
      </c>
    </row>
    <row r="181" spans="1:7" x14ac:dyDescent="0.25">
      <c r="A181" s="42">
        <v>2009</v>
      </c>
      <c r="B181" s="42" t="s">
        <v>106</v>
      </c>
      <c r="C181" s="42" t="s">
        <v>43</v>
      </c>
      <c r="D181" s="42" t="s">
        <v>129</v>
      </c>
      <c r="E181" s="42">
        <v>11886</v>
      </c>
      <c r="F181" s="42"/>
      <c r="G181" s="42">
        <v>2377.1999999999998</v>
      </c>
    </row>
    <row r="182" spans="1:7" x14ac:dyDescent="0.25">
      <c r="A182" s="41">
        <v>2009</v>
      </c>
      <c r="B182" s="41" t="s">
        <v>106</v>
      </c>
      <c r="C182" s="41" t="s">
        <v>43</v>
      </c>
      <c r="D182" s="41" t="s">
        <v>130</v>
      </c>
      <c r="E182" s="41">
        <v>8703</v>
      </c>
      <c r="F182" s="41"/>
      <c r="G182" s="41">
        <v>1740.6</v>
      </c>
    </row>
    <row r="183" spans="1:7" x14ac:dyDescent="0.25">
      <c r="A183" s="42">
        <v>2009</v>
      </c>
      <c r="B183" s="42" t="s">
        <v>106</v>
      </c>
      <c r="C183" s="42" t="s">
        <v>43</v>
      </c>
      <c r="D183" s="42" t="s">
        <v>137</v>
      </c>
      <c r="E183" s="42">
        <v>5819</v>
      </c>
      <c r="F183" s="42"/>
      <c r="G183" s="42">
        <v>1163.8</v>
      </c>
    </row>
    <row r="184" spans="1:7" x14ac:dyDescent="0.25">
      <c r="A184" s="41">
        <v>2009</v>
      </c>
      <c r="B184" s="41" t="s">
        <v>106</v>
      </c>
      <c r="C184" s="41" t="s">
        <v>43</v>
      </c>
      <c r="D184" s="41" t="s">
        <v>138</v>
      </c>
      <c r="E184" s="41">
        <v>5107</v>
      </c>
      <c r="F184" s="41"/>
      <c r="G184" s="41">
        <v>1021.4</v>
      </c>
    </row>
    <row r="185" spans="1:7" x14ac:dyDescent="0.25">
      <c r="A185" s="42">
        <v>2009</v>
      </c>
      <c r="B185" s="42" t="s">
        <v>106</v>
      </c>
      <c r="C185" s="42" t="s">
        <v>43</v>
      </c>
      <c r="D185" s="42" t="s">
        <v>139</v>
      </c>
      <c r="E185" s="42">
        <v>3322</v>
      </c>
      <c r="F185" s="42"/>
      <c r="G185" s="42">
        <v>664.4</v>
      </c>
    </row>
    <row r="186" spans="1:7" x14ac:dyDescent="0.25">
      <c r="A186" s="41">
        <v>2009</v>
      </c>
      <c r="B186" s="41" t="s">
        <v>106</v>
      </c>
      <c r="C186" s="41" t="s">
        <v>43</v>
      </c>
      <c r="D186" s="41" t="s">
        <v>140</v>
      </c>
      <c r="E186" s="41">
        <v>3153</v>
      </c>
      <c r="F186" s="41"/>
      <c r="G186" s="41">
        <v>630.6</v>
      </c>
    </row>
    <row r="187" spans="1:7" x14ac:dyDescent="0.25">
      <c r="A187" s="42">
        <v>2009</v>
      </c>
      <c r="B187" s="42" t="s">
        <v>106</v>
      </c>
      <c r="C187" s="42" t="s">
        <v>43</v>
      </c>
      <c r="D187" s="42" t="s">
        <v>141</v>
      </c>
      <c r="E187" s="42">
        <v>1919</v>
      </c>
      <c r="F187" s="42"/>
      <c r="G187" s="42">
        <v>383.8</v>
      </c>
    </row>
    <row r="188" spans="1:7" x14ac:dyDescent="0.25">
      <c r="A188" s="41">
        <v>2009</v>
      </c>
      <c r="B188" s="41" t="s">
        <v>106</v>
      </c>
      <c r="C188" s="41" t="s">
        <v>43</v>
      </c>
      <c r="D188" s="41" t="s">
        <v>142</v>
      </c>
      <c r="E188" s="41">
        <v>3475</v>
      </c>
      <c r="F188" s="41"/>
      <c r="G188" s="41">
        <v>695</v>
      </c>
    </row>
    <row r="189" spans="1:7" x14ac:dyDescent="0.25">
      <c r="A189" s="42">
        <v>2009</v>
      </c>
      <c r="B189" s="42" t="s">
        <v>107</v>
      </c>
      <c r="C189" s="42" t="s">
        <v>44</v>
      </c>
      <c r="D189" s="42" t="s">
        <v>133</v>
      </c>
      <c r="E189" s="42">
        <v>15093</v>
      </c>
      <c r="F189" s="42"/>
      <c r="G189" s="42">
        <v>3018.6</v>
      </c>
    </row>
    <row r="190" spans="1:7" x14ac:dyDescent="0.25">
      <c r="A190" s="41">
        <v>2009</v>
      </c>
      <c r="B190" s="41" t="s">
        <v>107</v>
      </c>
      <c r="C190" s="41" t="s">
        <v>44</v>
      </c>
      <c r="D190" s="41" t="s">
        <v>134</v>
      </c>
      <c r="E190" s="41">
        <v>56269</v>
      </c>
      <c r="F190" s="41"/>
      <c r="G190" s="41">
        <v>11253.8</v>
      </c>
    </row>
    <row r="191" spans="1:7" x14ac:dyDescent="0.25">
      <c r="A191" s="42">
        <v>2009</v>
      </c>
      <c r="B191" s="42" t="s">
        <v>107</v>
      </c>
      <c r="C191" s="42" t="s">
        <v>44</v>
      </c>
      <c r="D191" s="42" t="s">
        <v>135</v>
      </c>
      <c r="E191" s="42">
        <v>60966</v>
      </c>
      <c r="F191" s="42"/>
      <c r="G191" s="42">
        <v>12193.2</v>
      </c>
    </row>
    <row r="192" spans="1:7" x14ac:dyDescent="0.25">
      <c r="A192" s="41">
        <v>2009</v>
      </c>
      <c r="B192" s="41" t="s">
        <v>107</v>
      </c>
      <c r="C192" s="41" t="s">
        <v>44</v>
      </c>
      <c r="D192" s="41" t="s">
        <v>136</v>
      </c>
      <c r="E192" s="41">
        <v>58296</v>
      </c>
      <c r="F192" s="41"/>
      <c r="G192" s="41">
        <v>11659.2</v>
      </c>
    </row>
    <row r="193" spans="1:7" x14ac:dyDescent="0.25">
      <c r="A193" s="42">
        <v>2009</v>
      </c>
      <c r="B193" s="42" t="s">
        <v>107</v>
      </c>
      <c r="C193" s="42" t="s">
        <v>44</v>
      </c>
      <c r="D193" s="42" t="s">
        <v>123</v>
      </c>
      <c r="E193" s="42">
        <v>49220</v>
      </c>
      <c r="F193" s="42"/>
      <c r="G193" s="42">
        <v>9844</v>
      </c>
    </row>
    <row r="194" spans="1:7" x14ac:dyDescent="0.25">
      <c r="A194" s="41">
        <v>2009</v>
      </c>
      <c r="B194" s="41" t="s">
        <v>107</v>
      </c>
      <c r="C194" s="41" t="s">
        <v>44</v>
      </c>
      <c r="D194" s="41" t="s">
        <v>124</v>
      </c>
      <c r="E194" s="41">
        <v>32725</v>
      </c>
      <c r="F194" s="41"/>
      <c r="G194" s="41">
        <v>6545</v>
      </c>
    </row>
    <row r="195" spans="1:7" x14ac:dyDescent="0.25">
      <c r="A195" s="42">
        <v>2009</v>
      </c>
      <c r="B195" s="42" t="s">
        <v>107</v>
      </c>
      <c r="C195" s="42" t="s">
        <v>44</v>
      </c>
      <c r="D195" s="42" t="s">
        <v>125</v>
      </c>
      <c r="E195" s="42">
        <v>25961</v>
      </c>
      <c r="F195" s="42"/>
      <c r="G195" s="42">
        <v>5192.2</v>
      </c>
    </row>
    <row r="196" spans="1:7" x14ac:dyDescent="0.25">
      <c r="A196" s="41">
        <v>2009</v>
      </c>
      <c r="B196" s="41" t="s">
        <v>107</v>
      </c>
      <c r="C196" s="41" t="s">
        <v>44</v>
      </c>
      <c r="D196" s="41" t="s">
        <v>126</v>
      </c>
      <c r="E196" s="41">
        <v>20359</v>
      </c>
      <c r="F196" s="41"/>
      <c r="G196" s="41">
        <v>4071.8</v>
      </c>
    </row>
    <row r="197" spans="1:7" x14ac:dyDescent="0.25">
      <c r="A197" s="42">
        <v>2009</v>
      </c>
      <c r="B197" s="42" t="s">
        <v>107</v>
      </c>
      <c r="C197" s="42" t="s">
        <v>44</v>
      </c>
      <c r="D197" s="42" t="s">
        <v>127</v>
      </c>
      <c r="E197" s="42">
        <v>14793</v>
      </c>
      <c r="F197" s="42"/>
      <c r="G197" s="42">
        <v>2958.6</v>
      </c>
    </row>
    <row r="198" spans="1:7" x14ac:dyDescent="0.25">
      <c r="A198" s="41">
        <v>2009</v>
      </c>
      <c r="B198" s="41" t="s">
        <v>107</v>
      </c>
      <c r="C198" s="41" t="s">
        <v>44</v>
      </c>
      <c r="D198" s="41" t="s">
        <v>128</v>
      </c>
      <c r="E198" s="41">
        <v>11118</v>
      </c>
      <c r="F198" s="41"/>
      <c r="G198" s="41">
        <v>2223.6</v>
      </c>
    </row>
    <row r="199" spans="1:7" x14ac:dyDescent="0.25">
      <c r="A199" s="42">
        <v>2009</v>
      </c>
      <c r="B199" s="42" t="s">
        <v>107</v>
      </c>
      <c r="C199" s="42" t="s">
        <v>44</v>
      </c>
      <c r="D199" s="42" t="s">
        <v>129</v>
      </c>
      <c r="E199" s="42">
        <v>10390</v>
      </c>
      <c r="F199" s="42"/>
      <c r="G199" s="42">
        <v>2078</v>
      </c>
    </row>
    <row r="200" spans="1:7" x14ac:dyDescent="0.25">
      <c r="A200" s="41">
        <v>2009</v>
      </c>
      <c r="B200" s="41" t="s">
        <v>107</v>
      </c>
      <c r="C200" s="41" t="s">
        <v>44</v>
      </c>
      <c r="D200" s="41" t="s">
        <v>130</v>
      </c>
      <c r="E200" s="41">
        <v>9079</v>
      </c>
      <c r="F200" s="41"/>
      <c r="G200" s="41">
        <v>1815.8</v>
      </c>
    </row>
    <row r="201" spans="1:7" x14ac:dyDescent="0.25">
      <c r="A201" s="42">
        <v>2009</v>
      </c>
      <c r="B201" s="42" t="s">
        <v>107</v>
      </c>
      <c r="C201" s="42" t="s">
        <v>44</v>
      </c>
      <c r="D201" s="42" t="s">
        <v>137</v>
      </c>
      <c r="E201" s="42">
        <v>8414</v>
      </c>
      <c r="F201" s="42"/>
      <c r="G201" s="42">
        <v>1682.8</v>
      </c>
    </row>
    <row r="202" spans="1:7" x14ac:dyDescent="0.25">
      <c r="A202" s="41">
        <v>2009</v>
      </c>
      <c r="B202" s="41" t="s">
        <v>107</v>
      </c>
      <c r="C202" s="41" t="s">
        <v>44</v>
      </c>
      <c r="D202" s="41" t="s">
        <v>138</v>
      </c>
      <c r="E202" s="41">
        <v>7712</v>
      </c>
      <c r="F202" s="41"/>
      <c r="G202" s="41">
        <v>1542.4</v>
      </c>
    </row>
    <row r="203" spans="1:7" x14ac:dyDescent="0.25">
      <c r="A203" s="42">
        <v>2009</v>
      </c>
      <c r="B203" s="42" t="s">
        <v>107</v>
      </c>
      <c r="C203" s="42" t="s">
        <v>44</v>
      </c>
      <c r="D203" s="42" t="s">
        <v>139</v>
      </c>
      <c r="E203" s="42">
        <v>5107</v>
      </c>
      <c r="F203" s="42"/>
      <c r="G203" s="42">
        <v>1021.4</v>
      </c>
    </row>
    <row r="204" spans="1:7" x14ac:dyDescent="0.25">
      <c r="A204" s="41">
        <v>2009</v>
      </c>
      <c r="B204" s="41" t="s">
        <v>107</v>
      </c>
      <c r="C204" s="41" t="s">
        <v>44</v>
      </c>
      <c r="D204" s="41" t="s">
        <v>140</v>
      </c>
      <c r="E204" s="41">
        <v>5175</v>
      </c>
      <c r="F204" s="41"/>
      <c r="G204" s="41">
        <v>1035</v>
      </c>
    </row>
    <row r="205" spans="1:7" x14ac:dyDescent="0.25">
      <c r="A205" s="42">
        <v>2009</v>
      </c>
      <c r="B205" s="42" t="s">
        <v>107</v>
      </c>
      <c r="C205" s="42" t="s">
        <v>44</v>
      </c>
      <c r="D205" s="42" t="s">
        <v>141</v>
      </c>
      <c r="E205" s="42">
        <v>3549</v>
      </c>
      <c r="F205" s="42"/>
      <c r="G205" s="42">
        <v>709.8</v>
      </c>
    </row>
    <row r="206" spans="1:7" x14ac:dyDescent="0.25">
      <c r="A206" s="41">
        <v>2009</v>
      </c>
      <c r="B206" s="41" t="s">
        <v>107</v>
      </c>
      <c r="C206" s="41" t="s">
        <v>44</v>
      </c>
      <c r="D206" s="41" t="s">
        <v>142</v>
      </c>
      <c r="E206" s="41">
        <v>4159</v>
      </c>
      <c r="F206" s="41"/>
      <c r="G206" s="41">
        <v>831.8</v>
      </c>
    </row>
    <row r="207" spans="1:7" x14ac:dyDescent="0.25">
      <c r="A207" s="42">
        <v>2009</v>
      </c>
      <c r="B207" s="42" t="s">
        <v>107</v>
      </c>
      <c r="C207" s="42" t="s">
        <v>43</v>
      </c>
      <c r="D207" s="42" t="s">
        <v>133</v>
      </c>
      <c r="E207" s="42">
        <v>14860</v>
      </c>
      <c r="F207" s="42"/>
      <c r="G207" s="42">
        <v>2972</v>
      </c>
    </row>
    <row r="208" spans="1:7" x14ac:dyDescent="0.25">
      <c r="A208" s="41">
        <v>2009</v>
      </c>
      <c r="B208" s="41" t="s">
        <v>107</v>
      </c>
      <c r="C208" s="41" t="s">
        <v>43</v>
      </c>
      <c r="D208" s="41" t="s">
        <v>134</v>
      </c>
      <c r="E208" s="41">
        <v>55901</v>
      </c>
      <c r="F208" s="41"/>
      <c r="G208" s="41">
        <v>11180.2</v>
      </c>
    </row>
    <row r="209" spans="1:7" x14ac:dyDescent="0.25">
      <c r="A209" s="42">
        <v>2009</v>
      </c>
      <c r="B209" s="42" t="s">
        <v>107</v>
      </c>
      <c r="C209" s="42" t="s">
        <v>43</v>
      </c>
      <c r="D209" s="42" t="s">
        <v>135</v>
      </c>
      <c r="E209" s="42">
        <v>60710</v>
      </c>
      <c r="F209" s="42"/>
      <c r="G209" s="42">
        <v>12142</v>
      </c>
    </row>
    <row r="210" spans="1:7" x14ac:dyDescent="0.25">
      <c r="A210" s="41">
        <v>2009</v>
      </c>
      <c r="B210" s="41" t="s">
        <v>107</v>
      </c>
      <c r="C210" s="41" t="s">
        <v>43</v>
      </c>
      <c r="D210" s="41" t="s">
        <v>136</v>
      </c>
      <c r="E210" s="41">
        <v>56248</v>
      </c>
      <c r="F210" s="41"/>
      <c r="G210" s="41">
        <v>11249.6</v>
      </c>
    </row>
    <row r="211" spans="1:7" x14ac:dyDescent="0.25">
      <c r="A211" s="42">
        <v>2009</v>
      </c>
      <c r="B211" s="42" t="s">
        <v>107</v>
      </c>
      <c r="C211" s="42" t="s">
        <v>43</v>
      </c>
      <c r="D211" s="42" t="s">
        <v>123</v>
      </c>
      <c r="E211" s="42">
        <v>47825</v>
      </c>
      <c r="F211" s="42"/>
      <c r="G211" s="42">
        <v>9565</v>
      </c>
    </row>
    <row r="212" spans="1:7" x14ac:dyDescent="0.25">
      <c r="A212" s="41">
        <v>2009</v>
      </c>
      <c r="B212" s="41" t="s">
        <v>107</v>
      </c>
      <c r="C212" s="41" t="s">
        <v>43</v>
      </c>
      <c r="D212" s="41" t="s">
        <v>124</v>
      </c>
      <c r="E212" s="41">
        <v>41443</v>
      </c>
      <c r="F212" s="41"/>
      <c r="G212" s="41">
        <v>8288.6</v>
      </c>
    </row>
    <row r="213" spans="1:7" x14ac:dyDescent="0.25">
      <c r="A213" s="42">
        <v>2009</v>
      </c>
      <c r="B213" s="42" t="s">
        <v>107</v>
      </c>
      <c r="C213" s="42" t="s">
        <v>43</v>
      </c>
      <c r="D213" s="42" t="s">
        <v>125</v>
      </c>
      <c r="E213" s="42">
        <v>30135</v>
      </c>
      <c r="F213" s="42"/>
      <c r="G213" s="42">
        <v>6027</v>
      </c>
    </row>
    <row r="214" spans="1:7" x14ac:dyDescent="0.25">
      <c r="A214" s="41">
        <v>2009</v>
      </c>
      <c r="B214" s="41" t="s">
        <v>107</v>
      </c>
      <c r="C214" s="41" t="s">
        <v>43</v>
      </c>
      <c r="D214" s="41" t="s">
        <v>126</v>
      </c>
      <c r="E214" s="41">
        <v>22328</v>
      </c>
      <c r="F214" s="41"/>
      <c r="G214" s="41">
        <v>4465.6000000000004</v>
      </c>
    </row>
    <row r="215" spans="1:7" x14ac:dyDescent="0.25">
      <c r="A215" s="42">
        <v>2009</v>
      </c>
      <c r="B215" s="42" t="s">
        <v>107</v>
      </c>
      <c r="C215" s="42" t="s">
        <v>43</v>
      </c>
      <c r="D215" s="42" t="s">
        <v>127</v>
      </c>
      <c r="E215" s="42">
        <v>17932</v>
      </c>
      <c r="F215" s="42"/>
      <c r="G215" s="42">
        <v>3586.4</v>
      </c>
    </row>
    <row r="216" spans="1:7" x14ac:dyDescent="0.25">
      <c r="A216" s="41">
        <v>2009</v>
      </c>
      <c r="B216" s="41" t="s">
        <v>107</v>
      </c>
      <c r="C216" s="41" t="s">
        <v>43</v>
      </c>
      <c r="D216" s="41" t="s">
        <v>128</v>
      </c>
      <c r="E216" s="41">
        <v>16082</v>
      </c>
      <c r="F216" s="41"/>
      <c r="G216" s="41">
        <v>3216.4</v>
      </c>
    </row>
    <row r="217" spans="1:7" x14ac:dyDescent="0.25">
      <c r="A217" s="42">
        <v>2009</v>
      </c>
      <c r="B217" s="42" t="s">
        <v>107</v>
      </c>
      <c r="C217" s="42" t="s">
        <v>43</v>
      </c>
      <c r="D217" s="42" t="s">
        <v>129</v>
      </c>
      <c r="E217" s="42">
        <v>15486</v>
      </c>
      <c r="F217" s="42"/>
      <c r="G217" s="42">
        <v>3097.2</v>
      </c>
    </row>
    <row r="218" spans="1:7" x14ac:dyDescent="0.25">
      <c r="A218" s="41">
        <v>2009</v>
      </c>
      <c r="B218" s="41" t="s">
        <v>107</v>
      </c>
      <c r="C218" s="41" t="s">
        <v>43</v>
      </c>
      <c r="D218" s="41" t="s">
        <v>130</v>
      </c>
      <c r="E218" s="41">
        <v>14541</v>
      </c>
      <c r="F218" s="41"/>
      <c r="G218" s="41">
        <v>2908.2</v>
      </c>
    </row>
    <row r="219" spans="1:7" x14ac:dyDescent="0.25">
      <c r="A219" s="42">
        <v>2009</v>
      </c>
      <c r="B219" s="42" t="s">
        <v>107</v>
      </c>
      <c r="C219" s="42" t="s">
        <v>43</v>
      </c>
      <c r="D219" s="42" t="s">
        <v>137</v>
      </c>
      <c r="E219" s="42">
        <v>12265</v>
      </c>
      <c r="F219" s="42"/>
      <c r="G219" s="42">
        <v>2453</v>
      </c>
    </row>
    <row r="220" spans="1:7" x14ac:dyDescent="0.25">
      <c r="A220" s="41">
        <v>2009</v>
      </c>
      <c r="B220" s="41" t="s">
        <v>107</v>
      </c>
      <c r="C220" s="41" t="s">
        <v>43</v>
      </c>
      <c r="D220" s="41" t="s">
        <v>138</v>
      </c>
      <c r="E220" s="41">
        <v>11081</v>
      </c>
      <c r="F220" s="41"/>
      <c r="G220" s="41">
        <v>2216.1999999999998</v>
      </c>
    </row>
    <row r="221" spans="1:7" x14ac:dyDescent="0.25">
      <c r="A221" s="42">
        <v>2009</v>
      </c>
      <c r="B221" s="42" t="s">
        <v>107</v>
      </c>
      <c r="C221" s="42" t="s">
        <v>43</v>
      </c>
      <c r="D221" s="42" t="s">
        <v>139</v>
      </c>
      <c r="E221" s="42">
        <v>7732</v>
      </c>
      <c r="F221" s="42"/>
      <c r="G221" s="42">
        <v>1546.4</v>
      </c>
    </row>
    <row r="222" spans="1:7" x14ac:dyDescent="0.25">
      <c r="A222" s="41">
        <v>2009</v>
      </c>
      <c r="B222" s="41" t="s">
        <v>107</v>
      </c>
      <c r="C222" s="41" t="s">
        <v>43</v>
      </c>
      <c r="D222" s="41" t="s">
        <v>140</v>
      </c>
      <c r="E222" s="41">
        <v>7173</v>
      </c>
      <c r="F222" s="41"/>
      <c r="G222" s="41">
        <v>1434.6</v>
      </c>
    </row>
    <row r="223" spans="1:7" x14ac:dyDescent="0.25">
      <c r="A223" s="42">
        <v>2009</v>
      </c>
      <c r="B223" s="42" t="s">
        <v>107</v>
      </c>
      <c r="C223" s="42" t="s">
        <v>43</v>
      </c>
      <c r="D223" s="42" t="s">
        <v>141</v>
      </c>
      <c r="E223" s="42">
        <v>5464</v>
      </c>
      <c r="F223" s="42"/>
      <c r="G223" s="42">
        <v>1092.8</v>
      </c>
    </row>
    <row r="224" spans="1:7" x14ac:dyDescent="0.25">
      <c r="A224" s="41">
        <v>2009</v>
      </c>
      <c r="B224" s="41" t="s">
        <v>107</v>
      </c>
      <c r="C224" s="41" t="s">
        <v>43</v>
      </c>
      <c r="D224" s="41" t="s">
        <v>142</v>
      </c>
      <c r="E224" s="41">
        <v>6155</v>
      </c>
      <c r="F224" s="41"/>
      <c r="G224" s="41">
        <v>1231</v>
      </c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L1008"/>
  <sheetViews>
    <sheetView topLeftCell="A88" workbookViewId="0">
      <selection activeCell="D103" sqref="D103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147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/>
      <c r="C6" s="42" t="s">
        <v>115</v>
      </c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147</v>
      </c>
      <c r="F8" s="38" t="s">
        <v>113</v>
      </c>
      <c r="G8" s="38" t="s">
        <v>115</v>
      </c>
      <c r="J8" s="40" t="s">
        <v>120</v>
      </c>
    </row>
    <row r="9" spans="1:12" x14ac:dyDescent="0.25">
      <c r="A9" s="42">
        <v>2004.5</v>
      </c>
      <c r="B9" s="42" t="s">
        <v>102</v>
      </c>
      <c r="C9" s="42" t="s">
        <v>44</v>
      </c>
      <c r="D9" s="42" t="s">
        <v>131</v>
      </c>
      <c r="E9" s="42">
        <v>1067</v>
      </c>
      <c r="F9" s="42"/>
      <c r="G9" s="42">
        <v>213.4</v>
      </c>
      <c r="J9" s="40" t="s">
        <v>148</v>
      </c>
    </row>
    <row r="10" spans="1:12" x14ac:dyDescent="0.25">
      <c r="A10" s="41">
        <v>2005.5</v>
      </c>
      <c r="B10" s="41" t="s">
        <v>102</v>
      </c>
      <c r="C10" s="41" t="s">
        <v>44</v>
      </c>
      <c r="D10" s="41" t="s">
        <v>131</v>
      </c>
      <c r="E10" s="41">
        <v>2313</v>
      </c>
      <c r="F10" s="41"/>
      <c r="G10" s="41">
        <v>462.6</v>
      </c>
    </row>
    <row r="11" spans="1:12" x14ac:dyDescent="0.25">
      <c r="A11" s="42">
        <v>2006.5</v>
      </c>
      <c r="B11" s="42" t="s">
        <v>102</v>
      </c>
      <c r="C11" s="42" t="s">
        <v>44</v>
      </c>
      <c r="D11" s="42" t="s">
        <v>131</v>
      </c>
      <c r="E11" s="42">
        <v>5148</v>
      </c>
      <c r="F11" s="42"/>
      <c r="G11" s="42">
        <v>1029.6000000000001</v>
      </c>
    </row>
    <row r="12" spans="1:12" x14ac:dyDescent="0.25">
      <c r="A12" s="41">
        <v>2007.5</v>
      </c>
      <c r="B12" s="41" t="s">
        <v>102</v>
      </c>
      <c r="C12" s="41" t="s">
        <v>44</v>
      </c>
      <c r="D12" s="41" t="s">
        <v>131</v>
      </c>
      <c r="E12" s="41">
        <v>7194</v>
      </c>
      <c r="F12" s="41"/>
      <c r="G12" s="41">
        <v>1438.8000000000002</v>
      </c>
    </row>
    <row r="13" spans="1:12" x14ac:dyDescent="0.25">
      <c r="A13" s="42">
        <v>2008.5</v>
      </c>
      <c r="B13" s="42" t="s">
        <v>102</v>
      </c>
      <c r="C13" s="42" t="s">
        <v>44</v>
      </c>
      <c r="D13" s="42" t="s">
        <v>131</v>
      </c>
      <c r="E13" s="42">
        <v>10002</v>
      </c>
      <c r="F13" s="42"/>
      <c r="G13" s="42">
        <v>2000.4</v>
      </c>
    </row>
    <row r="14" spans="1:12" x14ac:dyDescent="0.25">
      <c r="A14" s="41">
        <v>2009.5</v>
      </c>
      <c r="B14" s="41" t="s">
        <v>102</v>
      </c>
      <c r="C14" s="41" t="s">
        <v>44</v>
      </c>
      <c r="D14" s="41" t="s">
        <v>131</v>
      </c>
      <c r="E14" s="41">
        <v>14436</v>
      </c>
      <c r="F14" s="41"/>
      <c r="G14" s="41">
        <v>2887.2000000000003</v>
      </c>
    </row>
    <row r="15" spans="1:12" x14ac:dyDescent="0.25">
      <c r="A15" s="42">
        <v>2010.5</v>
      </c>
      <c r="B15" s="42" t="s">
        <v>102</v>
      </c>
      <c r="C15" s="42" t="s">
        <v>44</v>
      </c>
      <c r="D15" s="42" t="s">
        <v>131</v>
      </c>
      <c r="E15" s="42">
        <v>17178</v>
      </c>
      <c r="F15" s="42"/>
      <c r="G15" s="42">
        <v>3435.6000000000004</v>
      </c>
    </row>
    <row r="16" spans="1:12" x14ac:dyDescent="0.25">
      <c r="A16" s="41">
        <v>2011.5</v>
      </c>
      <c r="B16" s="41" t="s">
        <v>102</v>
      </c>
      <c r="C16" s="41" t="s">
        <v>44</v>
      </c>
      <c r="D16" s="41" t="s">
        <v>131</v>
      </c>
      <c r="E16" s="41">
        <v>15954</v>
      </c>
      <c r="F16" s="41"/>
      <c r="G16" s="41">
        <v>3190.8</v>
      </c>
    </row>
    <row r="17" spans="1:7" x14ac:dyDescent="0.25">
      <c r="A17" s="42">
        <v>2012.5</v>
      </c>
      <c r="B17" s="42" t="s">
        <v>102</v>
      </c>
      <c r="C17" s="42" t="s">
        <v>44</v>
      </c>
      <c r="D17" s="42" t="s">
        <v>131</v>
      </c>
      <c r="E17" s="42">
        <v>17522</v>
      </c>
      <c r="F17" s="42"/>
      <c r="G17" s="42">
        <v>3504.4</v>
      </c>
    </row>
    <row r="18" spans="1:7" x14ac:dyDescent="0.25">
      <c r="A18" s="41">
        <v>2013.5</v>
      </c>
      <c r="B18" s="41" t="s">
        <v>102</v>
      </c>
      <c r="C18" s="41" t="s">
        <v>44</v>
      </c>
      <c r="D18" s="41" t="s">
        <v>131</v>
      </c>
      <c r="E18" s="41">
        <v>18279</v>
      </c>
      <c r="F18" s="41"/>
      <c r="G18" s="41">
        <v>3655.8</v>
      </c>
    </row>
    <row r="19" spans="1:7" x14ac:dyDescent="0.25">
      <c r="A19" s="42">
        <v>2004.5</v>
      </c>
      <c r="B19" s="42" t="s">
        <v>102</v>
      </c>
      <c r="C19" s="42" t="s">
        <v>43</v>
      </c>
      <c r="D19" s="42" t="s">
        <v>131</v>
      </c>
      <c r="E19" s="42">
        <v>1359</v>
      </c>
      <c r="F19" s="42"/>
      <c r="G19" s="42">
        <v>271.8</v>
      </c>
    </row>
    <row r="20" spans="1:7" x14ac:dyDescent="0.25">
      <c r="A20" s="41">
        <v>2005.5</v>
      </c>
      <c r="B20" s="41" t="s">
        <v>102</v>
      </c>
      <c r="C20" s="41" t="s">
        <v>43</v>
      </c>
      <c r="D20" s="41" t="s">
        <v>131</v>
      </c>
      <c r="E20" s="41">
        <v>2944</v>
      </c>
      <c r="F20" s="41"/>
      <c r="G20" s="41">
        <v>588.80000000000007</v>
      </c>
    </row>
    <row r="21" spans="1:7" x14ac:dyDescent="0.25">
      <c r="A21" s="42">
        <v>2006.5</v>
      </c>
      <c r="B21" s="42" t="s">
        <v>102</v>
      </c>
      <c r="C21" s="42" t="s">
        <v>43</v>
      </c>
      <c r="D21" s="42" t="s">
        <v>131</v>
      </c>
      <c r="E21" s="42">
        <v>6551</v>
      </c>
      <c r="F21" s="42"/>
      <c r="G21" s="42">
        <v>1310.2</v>
      </c>
    </row>
    <row r="22" spans="1:7" x14ac:dyDescent="0.25">
      <c r="A22" s="41">
        <v>2007.5</v>
      </c>
      <c r="B22" s="41" t="s">
        <v>102</v>
      </c>
      <c r="C22" s="41" t="s">
        <v>43</v>
      </c>
      <c r="D22" s="41" t="s">
        <v>131</v>
      </c>
      <c r="E22" s="41">
        <v>9155</v>
      </c>
      <c r="F22" s="41"/>
      <c r="G22" s="41">
        <v>1831</v>
      </c>
    </row>
    <row r="23" spans="1:7" x14ac:dyDescent="0.25">
      <c r="A23" s="42">
        <v>2008.5</v>
      </c>
      <c r="B23" s="42" t="s">
        <v>102</v>
      </c>
      <c r="C23" s="42" t="s">
        <v>43</v>
      </c>
      <c r="D23" s="42" t="s">
        <v>131</v>
      </c>
      <c r="E23" s="42">
        <v>12522</v>
      </c>
      <c r="F23" s="42"/>
      <c r="G23" s="42">
        <v>2504.4</v>
      </c>
    </row>
    <row r="24" spans="1:7" x14ac:dyDescent="0.25">
      <c r="A24" s="41">
        <v>2009.5</v>
      </c>
      <c r="B24" s="41" t="s">
        <v>102</v>
      </c>
      <c r="C24" s="41" t="s">
        <v>43</v>
      </c>
      <c r="D24" s="41" t="s">
        <v>131</v>
      </c>
      <c r="E24" s="41">
        <v>17202</v>
      </c>
      <c r="F24" s="41"/>
      <c r="G24" s="41">
        <v>3440.4</v>
      </c>
    </row>
    <row r="25" spans="1:7" x14ac:dyDescent="0.25">
      <c r="A25" s="42">
        <v>2010.5</v>
      </c>
      <c r="B25" s="42" t="s">
        <v>102</v>
      </c>
      <c r="C25" s="42" t="s">
        <v>43</v>
      </c>
      <c r="D25" s="42" t="s">
        <v>131</v>
      </c>
      <c r="E25" s="42">
        <v>21798</v>
      </c>
      <c r="F25" s="42"/>
      <c r="G25" s="42">
        <v>4359.6000000000004</v>
      </c>
    </row>
    <row r="26" spans="1:7" x14ac:dyDescent="0.25">
      <c r="A26" s="41">
        <v>2011.5</v>
      </c>
      <c r="B26" s="41" t="s">
        <v>102</v>
      </c>
      <c r="C26" s="41" t="s">
        <v>43</v>
      </c>
      <c r="D26" s="41" t="s">
        <v>131</v>
      </c>
      <c r="E26" s="41">
        <v>31454</v>
      </c>
      <c r="F26" s="41"/>
      <c r="G26" s="41">
        <v>6290.8</v>
      </c>
    </row>
    <row r="27" spans="1:7" x14ac:dyDescent="0.25">
      <c r="A27" s="42">
        <v>2012.5</v>
      </c>
      <c r="B27" s="42" t="s">
        <v>102</v>
      </c>
      <c r="C27" s="42" t="s">
        <v>43</v>
      </c>
      <c r="D27" s="42" t="s">
        <v>131</v>
      </c>
      <c r="E27" s="42">
        <v>35182</v>
      </c>
      <c r="F27" s="42"/>
      <c r="G27" s="42">
        <v>7036.4000000000005</v>
      </c>
    </row>
    <row r="28" spans="1:7" x14ac:dyDescent="0.25">
      <c r="A28" s="41">
        <v>2013.5</v>
      </c>
      <c r="B28" s="41" t="s">
        <v>102</v>
      </c>
      <c r="C28" s="41" t="s">
        <v>43</v>
      </c>
      <c r="D28" s="41" t="s">
        <v>131</v>
      </c>
      <c r="E28" s="41">
        <v>38819</v>
      </c>
      <c r="F28" s="41"/>
      <c r="G28" s="41">
        <v>7763.8</v>
      </c>
    </row>
    <row r="29" spans="1:7" x14ac:dyDescent="0.25">
      <c r="A29" s="42">
        <v>2004.5</v>
      </c>
      <c r="B29" s="42" t="s">
        <v>104</v>
      </c>
      <c r="C29" s="42" t="s">
        <v>44</v>
      </c>
      <c r="D29" s="42" t="s">
        <v>131</v>
      </c>
      <c r="E29" s="42">
        <v>945</v>
      </c>
      <c r="F29" s="42"/>
      <c r="G29" s="42">
        <v>189</v>
      </c>
    </row>
    <row r="30" spans="1:7" x14ac:dyDescent="0.25">
      <c r="A30" s="41">
        <v>2005.5</v>
      </c>
      <c r="B30" s="41" t="s">
        <v>104</v>
      </c>
      <c r="C30" s="41" t="s">
        <v>44</v>
      </c>
      <c r="D30" s="41" t="s">
        <v>131</v>
      </c>
      <c r="E30" s="41">
        <v>2047</v>
      </c>
      <c r="F30" s="41"/>
      <c r="G30" s="41">
        <v>409.40000000000003</v>
      </c>
    </row>
    <row r="31" spans="1:7" x14ac:dyDescent="0.25">
      <c r="A31" s="42">
        <v>2006.5</v>
      </c>
      <c r="B31" s="42" t="s">
        <v>104</v>
      </c>
      <c r="C31" s="42" t="s">
        <v>44</v>
      </c>
      <c r="D31" s="42" t="s">
        <v>131</v>
      </c>
      <c r="E31" s="42">
        <v>4557</v>
      </c>
      <c r="F31" s="42"/>
      <c r="G31" s="42">
        <v>911.40000000000009</v>
      </c>
    </row>
    <row r="32" spans="1:7" x14ac:dyDescent="0.25">
      <c r="A32" s="41">
        <v>2007.5</v>
      </c>
      <c r="B32" s="41" t="s">
        <v>104</v>
      </c>
      <c r="C32" s="41" t="s">
        <v>44</v>
      </c>
      <c r="D32" s="41" t="s">
        <v>131</v>
      </c>
      <c r="E32" s="41">
        <v>6368</v>
      </c>
      <c r="F32" s="41"/>
      <c r="G32" s="41">
        <v>1273.6000000000001</v>
      </c>
    </row>
    <row r="33" spans="1:7" x14ac:dyDescent="0.25">
      <c r="A33" s="42">
        <v>2008.5</v>
      </c>
      <c r="B33" s="42" t="s">
        <v>104</v>
      </c>
      <c r="C33" s="42" t="s">
        <v>44</v>
      </c>
      <c r="D33" s="42" t="s">
        <v>131</v>
      </c>
      <c r="E33" s="42">
        <v>8853</v>
      </c>
      <c r="F33" s="42"/>
      <c r="G33" s="42">
        <v>1770.6000000000001</v>
      </c>
    </row>
    <row r="34" spans="1:7" x14ac:dyDescent="0.25">
      <c r="A34" s="41">
        <v>2009.5</v>
      </c>
      <c r="B34" s="41" t="s">
        <v>104</v>
      </c>
      <c r="C34" s="41" t="s">
        <v>44</v>
      </c>
      <c r="D34" s="41" t="s">
        <v>131</v>
      </c>
      <c r="E34" s="41">
        <v>12779</v>
      </c>
      <c r="F34" s="41"/>
      <c r="G34" s="41">
        <v>2555.8000000000002</v>
      </c>
    </row>
    <row r="35" spans="1:7" x14ac:dyDescent="0.25">
      <c r="A35" s="42">
        <v>2010.5</v>
      </c>
      <c r="B35" s="42" t="s">
        <v>104</v>
      </c>
      <c r="C35" s="42" t="s">
        <v>44</v>
      </c>
      <c r="D35" s="42" t="s">
        <v>131</v>
      </c>
      <c r="E35" s="42">
        <v>15206</v>
      </c>
      <c r="F35" s="42"/>
      <c r="G35" s="42">
        <v>3041.2000000000003</v>
      </c>
    </row>
    <row r="36" spans="1:7" x14ac:dyDescent="0.25">
      <c r="A36" s="41">
        <v>2011.5</v>
      </c>
      <c r="B36" s="41" t="s">
        <v>104</v>
      </c>
      <c r="C36" s="41" t="s">
        <v>44</v>
      </c>
      <c r="D36" s="41" t="s">
        <v>131</v>
      </c>
      <c r="E36" s="41">
        <v>14122</v>
      </c>
      <c r="F36" s="41"/>
      <c r="G36" s="41">
        <v>2824.4</v>
      </c>
    </row>
    <row r="37" spans="1:7" x14ac:dyDescent="0.25">
      <c r="A37" s="42">
        <v>2012.5</v>
      </c>
      <c r="B37" s="42" t="s">
        <v>104</v>
      </c>
      <c r="C37" s="42" t="s">
        <v>44</v>
      </c>
      <c r="D37" s="42" t="s">
        <v>131</v>
      </c>
      <c r="E37" s="42">
        <v>15511</v>
      </c>
      <c r="F37" s="42"/>
      <c r="G37" s="42">
        <v>3102.2000000000003</v>
      </c>
    </row>
    <row r="38" spans="1:7" x14ac:dyDescent="0.25">
      <c r="A38" s="41">
        <v>2013.5</v>
      </c>
      <c r="B38" s="41" t="s">
        <v>104</v>
      </c>
      <c r="C38" s="41" t="s">
        <v>44</v>
      </c>
      <c r="D38" s="41" t="s">
        <v>131</v>
      </c>
      <c r="E38" s="41">
        <v>16180</v>
      </c>
      <c r="F38" s="41"/>
      <c r="G38" s="41">
        <v>3236</v>
      </c>
    </row>
    <row r="39" spans="1:7" x14ac:dyDescent="0.25">
      <c r="A39" s="42">
        <v>2004.5</v>
      </c>
      <c r="B39" s="42" t="s">
        <v>104</v>
      </c>
      <c r="C39" s="42" t="s">
        <v>43</v>
      </c>
      <c r="D39" s="42" t="s">
        <v>131</v>
      </c>
      <c r="E39" s="42">
        <v>1203</v>
      </c>
      <c r="F39" s="42"/>
      <c r="G39" s="42">
        <v>240.60000000000002</v>
      </c>
    </row>
    <row r="40" spans="1:7" x14ac:dyDescent="0.25">
      <c r="A40" s="41">
        <v>2005.5</v>
      </c>
      <c r="B40" s="41" t="s">
        <v>104</v>
      </c>
      <c r="C40" s="41" t="s">
        <v>43</v>
      </c>
      <c r="D40" s="41" t="s">
        <v>131</v>
      </c>
      <c r="E40" s="41">
        <v>2606</v>
      </c>
      <c r="F40" s="41"/>
      <c r="G40" s="41">
        <v>521.20000000000005</v>
      </c>
    </row>
    <row r="41" spans="1:7" x14ac:dyDescent="0.25">
      <c r="A41" s="42">
        <v>2006.5</v>
      </c>
      <c r="B41" s="42" t="s">
        <v>104</v>
      </c>
      <c r="C41" s="42" t="s">
        <v>43</v>
      </c>
      <c r="D41" s="42" t="s">
        <v>131</v>
      </c>
      <c r="E41" s="42">
        <v>5799</v>
      </c>
      <c r="F41" s="42"/>
      <c r="G41" s="42">
        <v>1159.8</v>
      </c>
    </row>
    <row r="42" spans="1:7" x14ac:dyDescent="0.25">
      <c r="A42" s="41">
        <v>2007.5</v>
      </c>
      <c r="B42" s="41" t="s">
        <v>104</v>
      </c>
      <c r="C42" s="41" t="s">
        <v>43</v>
      </c>
      <c r="D42" s="41" t="s">
        <v>131</v>
      </c>
      <c r="E42" s="41">
        <v>8104</v>
      </c>
      <c r="F42" s="41"/>
      <c r="G42" s="41">
        <v>1620.8000000000002</v>
      </c>
    </row>
    <row r="43" spans="1:7" x14ac:dyDescent="0.25">
      <c r="A43" s="42">
        <v>2008.5</v>
      </c>
      <c r="B43" s="42" t="s">
        <v>104</v>
      </c>
      <c r="C43" s="42" t="s">
        <v>43</v>
      </c>
      <c r="D43" s="42" t="s">
        <v>131</v>
      </c>
      <c r="E43" s="42">
        <v>11084</v>
      </c>
      <c r="F43" s="42"/>
      <c r="G43" s="42">
        <v>2216.8000000000002</v>
      </c>
    </row>
    <row r="44" spans="1:7" x14ac:dyDescent="0.25">
      <c r="A44" s="41">
        <v>2009.5</v>
      </c>
      <c r="B44" s="41" t="s">
        <v>104</v>
      </c>
      <c r="C44" s="41" t="s">
        <v>43</v>
      </c>
      <c r="D44" s="41" t="s">
        <v>131</v>
      </c>
      <c r="E44" s="41">
        <v>15227</v>
      </c>
      <c r="F44" s="41"/>
      <c r="G44" s="41">
        <v>3045.4</v>
      </c>
    </row>
    <row r="45" spans="1:7" x14ac:dyDescent="0.25">
      <c r="A45" s="42">
        <v>2010.5</v>
      </c>
      <c r="B45" s="42" t="s">
        <v>104</v>
      </c>
      <c r="C45" s="42" t="s">
        <v>43</v>
      </c>
      <c r="D45" s="42" t="s">
        <v>131</v>
      </c>
      <c r="E45" s="42">
        <v>19296</v>
      </c>
      <c r="F45" s="42"/>
      <c r="G45" s="42">
        <v>3859.2000000000003</v>
      </c>
    </row>
    <row r="46" spans="1:7" x14ac:dyDescent="0.25">
      <c r="A46" s="41">
        <v>2011.5</v>
      </c>
      <c r="B46" s="41" t="s">
        <v>104</v>
      </c>
      <c r="C46" s="41" t="s">
        <v>43</v>
      </c>
      <c r="D46" s="41" t="s">
        <v>131</v>
      </c>
      <c r="E46" s="41">
        <v>27843</v>
      </c>
      <c r="F46" s="41"/>
      <c r="G46" s="41">
        <v>5568.6</v>
      </c>
    </row>
    <row r="47" spans="1:7" x14ac:dyDescent="0.25">
      <c r="A47" s="42">
        <v>2012.5</v>
      </c>
      <c r="B47" s="42" t="s">
        <v>104</v>
      </c>
      <c r="C47" s="42" t="s">
        <v>43</v>
      </c>
      <c r="D47" s="42" t="s">
        <v>131</v>
      </c>
      <c r="E47" s="42">
        <v>31143</v>
      </c>
      <c r="F47" s="42"/>
      <c r="G47" s="42">
        <v>6228.6</v>
      </c>
    </row>
    <row r="48" spans="1:7" x14ac:dyDescent="0.25">
      <c r="A48" s="41">
        <v>2013.5</v>
      </c>
      <c r="B48" s="41" t="s">
        <v>104</v>
      </c>
      <c r="C48" s="41" t="s">
        <v>43</v>
      </c>
      <c r="D48" s="41" t="s">
        <v>131</v>
      </c>
      <c r="E48" s="41">
        <v>34362</v>
      </c>
      <c r="F48" s="41"/>
      <c r="G48" s="41">
        <v>6872.4000000000005</v>
      </c>
    </row>
    <row r="49" spans="1:7" x14ac:dyDescent="0.25">
      <c r="A49" s="42">
        <v>2004.5</v>
      </c>
      <c r="B49" s="42" t="s">
        <v>105</v>
      </c>
      <c r="C49" s="42" t="s">
        <v>44</v>
      </c>
      <c r="D49" s="42" t="s">
        <v>131</v>
      </c>
      <c r="E49" s="42">
        <v>711</v>
      </c>
      <c r="F49" s="42"/>
      <c r="G49" s="42">
        <v>142.20000000000002</v>
      </c>
    </row>
    <row r="50" spans="1:7" x14ac:dyDescent="0.25">
      <c r="A50" s="41">
        <v>2005.5</v>
      </c>
      <c r="B50" s="41" t="s">
        <v>105</v>
      </c>
      <c r="C50" s="41" t="s">
        <v>44</v>
      </c>
      <c r="D50" s="41" t="s">
        <v>131</v>
      </c>
      <c r="E50" s="41">
        <v>1541</v>
      </c>
      <c r="F50" s="41"/>
      <c r="G50" s="41">
        <v>308.20000000000005</v>
      </c>
    </row>
    <row r="51" spans="1:7" x14ac:dyDescent="0.25">
      <c r="A51" s="42">
        <v>2006.5</v>
      </c>
      <c r="B51" s="42" t="s">
        <v>105</v>
      </c>
      <c r="C51" s="42" t="s">
        <v>44</v>
      </c>
      <c r="D51" s="42" t="s">
        <v>131</v>
      </c>
      <c r="E51" s="42">
        <v>3430</v>
      </c>
      <c r="F51" s="42"/>
      <c r="G51" s="42">
        <v>686</v>
      </c>
    </row>
    <row r="52" spans="1:7" x14ac:dyDescent="0.25">
      <c r="A52" s="41">
        <v>2007.5</v>
      </c>
      <c r="B52" s="41" t="s">
        <v>105</v>
      </c>
      <c r="C52" s="41" t="s">
        <v>44</v>
      </c>
      <c r="D52" s="41" t="s">
        <v>131</v>
      </c>
      <c r="E52" s="41">
        <v>4793</v>
      </c>
      <c r="F52" s="41"/>
      <c r="G52" s="41">
        <v>958.6</v>
      </c>
    </row>
    <row r="53" spans="1:7" x14ac:dyDescent="0.25">
      <c r="A53" s="42">
        <v>2008.5</v>
      </c>
      <c r="B53" s="42" t="s">
        <v>105</v>
      </c>
      <c r="C53" s="42" t="s">
        <v>44</v>
      </c>
      <c r="D53" s="42" t="s">
        <v>131</v>
      </c>
      <c r="E53" s="42">
        <v>6664</v>
      </c>
      <c r="F53" s="42"/>
      <c r="G53" s="42">
        <v>1332.8000000000002</v>
      </c>
    </row>
    <row r="54" spans="1:7" x14ac:dyDescent="0.25">
      <c r="A54" s="41">
        <v>2009.5</v>
      </c>
      <c r="B54" s="41" t="s">
        <v>105</v>
      </c>
      <c r="C54" s="41" t="s">
        <v>44</v>
      </c>
      <c r="D54" s="41" t="s">
        <v>131</v>
      </c>
      <c r="E54" s="41">
        <v>9619</v>
      </c>
      <c r="F54" s="41"/>
      <c r="G54" s="41">
        <v>1923.8000000000002</v>
      </c>
    </row>
    <row r="55" spans="1:7" x14ac:dyDescent="0.25">
      <c r="A55" s="42">
        <v>2010.5</v>
      </c>
      <c r="B55" s="42" t="s">
        <v>105</v>
      </c>
      <c r="C55" s="42" t="s">
        <v>44</v>
      </c>
      <c r="D55" s="42" t="s">
        <v>131</v>
      </c>
      <c r="E55" s="42">
        <v>11446</v>
      </c>
      <c r="F55" s="42"/>
      <c r="G55" s="42">
        <v>2289.2000000000003</v>
      </c>
    </row>
    <row r="56" spans="1:7" x14ac:dyDescent="0.25">
      <c r="A56" s="41">
        <v>2011.5</v>
      </c>
      <c r="B56" s="41" t="s">
        <v>105</v>
      </c>
      <c r="C56" s="41" t="s">
        <v>44</v>
      </c>
      <c r="D56" s="41" t="s">
        <v>131</v>
      </c>
      <c r="E56" s="41">
        <v>10630</v>
      </c>
      <c r="F56" s="41"/>
      <c r="G56" s="41">
        <v>2126</v>
      </c>
    </row>
    <row r="57" spans="1:7" x14ac:dyDescent="0.25">
      <c r="A57" s="42">
        <v>2012.5</v>
      </c>
      <c r="B57" s="42" t="s">
        <v>105</v>
      </c>
      <c r="C57" s="42" t="s">
        <v>44</v>
      </c>
      <c r="D57" s="42" t="s">
        <v>131</v>
      </c>
      <c r="E57" s="42">
        <v>11675</v>
      </c>
      <c r="F57" s="42"/>
      <c r="G57" s="42">
        <v>2335</v>
      </c>
    </row>
    <row r="58" spans="1:7" x14ac:dyDescent="0.25">
      <c r="A58" s="41">
        <v>2013.5</v>
      </c>
      <c r="B58" s="41" t="s">
        <v>105</v>
      </c>
      <c r="C58" s="41" t="s">
        <v>44</v>
      </c>
      <c r="D58" s="41" t="s">
        <v>131</v>
      </c>
      <c r="E58" s="41">
        <v>12179</v>
      </c>
      <c r="F58" s="41"/>
      <c r="G58" s="41">
        <v>2435.8000000000002</v>
      </c>
    </row>
    <row r="59" spans="1:7" x14ac:dyDescent="0.25">
      <c r="A59" s="42">
        <v>2004.5</v>
      </c>
      <c r="B59" s="42" t="s">
        <v>105</v>
      </c>
      <c r="C59" s="42" t="s">
        <v>43</v>
      </c>
      <c r="D59" s="42" t="s">
        <v>131</v>
      </c>
      <c r="E59" s="42">
        <v>905</v>
      </c>
      <c r="F59" s="42"/>
      <c r="G59" s="42">
        <v>181</v>
      </c>
    </row>
    <row r="60" spans="1:7" x14ac:dyDescent="0.25">
      <c r="A60" s="41">
        <v>2005.5</v>
      </c>
      <c r="B60" s="41" t="s">
        <v>105</v>
      </c>
      <c r="C60" s="41" t="s">
        <v>43</v>
      </c>
      <c r="D60" s="41" t="s">
        <v>131</v>
      </c>
      <c r="E60" s="41">
        <v>1961</v>
      </c>
      <c r="F60" s="41"/>
      <c r="G60" s="41">
        <v>392.20000000000005</v>
      </c>
    </row>
    <row r="61" spans="1:7" x14ac:dyDescent="0.25">
      <c r="A61" s="42">
        <v>2006.5</v>
      </c>
      <c r="B61" s="42" t="s">
        <v>105</v>
      </c>
      <c r="C61" s="42" t="s">
        <v>43</v>
      </c>
      <c r="D61" s="42" t="s">
        <v>131</v>
      </c>
      <c r="E61" s="42">
        <v>4365</v>
      </c>
      <c r="F61" s="42"/>
      <c r="G61" s="42">
        <v>873</v>
      </c>
    </row>
    <row r="62" spans="1:7" x14ac:dyDescent="0.25">
      <c r="A62" s="41">
        <v>2007.5</v>
      </c>
      <c r="B62" s="41" t="s">
        <v>105</v>
      </c>
      <c r="C62" s="41" t="s">
        <v>43</v>
      </c>
      <c r="D62" s="41" t="s">
        <v>131</v>
      </c>
      <c r="E62" s="41">
        <v>6100</v>
      </c>
      <c r="F62" s="41"/>
      <c r="G62" s="41">
        <v>1220</v>
      </c>
    </row>
    <row r="63" spans="1:7" x14ac:dyDescent="0.25">
      <c r="A63" s="42">
        <v>2008.5</v>
      </c>
      <c r="B63" s="42" t="s">
        <v>105</v>
      </c>
      <c r="C63" s="42" t="s">
        <v>43</v>
      </c>
      <c r="D63" s="42" t="s">
        <v>131</v>
      </c>
      <c r="E63" s="42">
        <v>8343</v>
      </c>
      <c r="F63" s="42"/>
      <c r="G63" s="42">
        <v>1668.6000000000001</v>
      </c>
    </row>
    <row r="64" spans="1:7" x14ac:dyDescent="0.25">
      <c r="A64" s="41">
        <v>2009.5</v>
      </c>
      <c r="B64" s="41" t="s">
        <v>105</v>
      </c>
      <c r="C64" s="41" t="s">
        <v>43</v>
      </c>
      <c r="D64" s="41" t="s">
        <v>131</v>
      </c>
      <c r="E64" s="41">
        <v>11461</v>
      </c>
      <c r="F64" s="41"/>
      <c r="G64" s="41">
        <v>2292.2000000000003</v>
      </c>
    </row>
    <row r="65" spans="1:7" x14ac:dyDescent="0.25">
      <c r="A65" s="42">
        <v>2010.5</v>
      </c>
      <c r="B65" s="42" t="s">
        <v>105</v>
      </c>
      <c r="C65" s="42" t="s">
        <v>43</v>
      </c>
      <c r="D65" s="42" t="s">
        <v>131</v>
      </c>
      <c r="E65" s="42">
        <v>14524</v>
      </c>
      <c r="F65" s="42"/>
      <c r="G65" s="42">
        <v>2904.8</v>
      </c>
    </row>
    <row r="66" spans="1:7" x14ac:dyDescent="0.25">
      <c r="A66" s="41">
        <v>2011.5</v>
      </c>
      <c r="B66" s="41" t="s">
        <v>105</v>
      </c>
      <c r="C66" s="41" t="s">
        <v>43</v>
      </c>
      <c r="D66" s="41" t="s">
        <v>131</v>
      </c>
      <c r="E66" s="41">
        <v>20958</v>
      </c>
      <c r="F66" s="41"/>
      <c r="G66" s="41">
        <v>4191.6000000000004</v>
      </c>
    </row>
    <row r="67" spans="1:7" x14ac:dyDescent="0.25">
      <c r="A67" s="42">
        <v>2012.5</v>
      </c>
      <c r="B67" s="42" t="s">
        <v>105</v>
      </c>
      <c r="C67" s="42" t="s">
        <v>43</v>
      </c>
      <c r="D67" s="42" t="s">
        <v>131</v>
      </c>
      <c r="E67" s="42">
        <v>23442</v>
      </c>
      <c r="F67" s="42"/>
      <c r="G67" s="42">
        <v>4688.4000000000005</v>
      </c>
    </row>
    <row r="68" spans="1:7" x14ac:dyDescent="0.25">
      <c r="A68" s="41">
        <v>2013.5</v>
      </c>
      <c r="B68" s="41" t="s">
        <v>105</v>
      </c>
      <c r="C68" s="41" t="s">
        <v>43</v>
      </c>
      <c r="D68" s="41" t="s">
        <v>131</v>
      </c>
      <c r="E68" s="41">
        <v>25865</v>
      </c>
      <c r="F68" s="41"/>
      <c r="G68" s="41">
        <v>5173</v>
      </c>
    </row>
    <row r="69" spans="1:7" x14ac:dyDescent="0.25">
      <c r="A69" s="42">
        <v>2004.5</v>
      </c>
      <c r="B69" s="42" t="s">
        <v>107</v>
      </c>
      <c r="C69" s="42" t="s">
        <v>44</v>
      </c>
      <c r="D69" s="42" t="s">
        <v>131</v>
      </c>
      <c r="E69" s="42">
        <v>860</v>
      </c>
      <c r="F69" s="42"/>
      <c r="G69" s="42">
        <v>172</v>
      </c>
    </row>
    <row r="70" spans="1:7" x14ac:dyDescent="0.25">
      <c r="A70" s="41">
        <v>2005.5</v>
      </c>
      <c r="B70" s="41" t="s">
        <v>107</v>
      </c>
      <c r="C70" s="41" t="s">
        <v>44</v>
      </c>
      <c r="D70" s="41" t="s">
        <v>131</v>
      </c>
      <c r="E70" s="41">
        <v>1864</v>
      </c>
      <c r="F70" s="41"/>
      <c r="G70" s="41">
        <v>372.8</v>
      </c>
    </row>
    <row r="71" spans="1:7" x14ac:dyDescent="0.25">
      <c r="A71" s="42">
        <v>2006.5</v>
      </c>
      <c r="B71" s="42" t="s">
        <v>107</v>
      </c>
      <c r="C71" s="42" t="s">
        <v>44</v>
      </c>
      <c r="D71" s="42" t="s">
        <v>131</v>
      </c>
      <c r="E71" s="42">
        <v>4148</v>
      </c>
      <c r="F71" s="42"/>
      <c r="G71" s="42">
        <v>829.6</v>
      </c>
    </row>
    <row r="72" spans="1:7" x14ac:dyDescent="0.25">
      <c r="A72" s="41">
        <v>2007.5</v>
      </c>
      <c r="B72" s="41" t="s">
        <v>107</v>
      </c>
      <c r="C72" s="41" t="s">
        <v>44</v>
      </c>
      <c r="D72" s="41" t="s">
        <v>131</v>
      </c>
      <c r="E72" s="41">
        <v>5797</v>
      </c>
      <c r="F72" s="41"/>
      <c r="G72" s="41">
        <v>1159.4000000000001</v>
      </c>
    </row>
    <row r="73" spans="1:7" x14ac:dyDescent="0.25">
      <c r="A73" s="42">
        <v>2008.5</v>
      </c>
      <c r="B73" s="42" t="s">
        <v>107</v>
      </c>
      <c r="C73" s="42" t="s">
        <v>44</v>
      </c>
      <c r="D73" s="42" t="s">
        <v>131</v>
      </c>
      <c r="E73" s="42">
        <v>8060</v>
      </c>
      <c r="F73" s="42"/>
      <c r="G73" s="42">
        <v>1612</v>
      </c>
    </row>
    <row r="74" spans="1:7" x14ac:dyDescent="0.25">
      <c r="A74" s="41">
        <v>2009.5</v>
      </c>
      <c r="B74" s="41" t="s">
        <v>107</v>
      </c>
      <c r="C74" s="41" t="s">
        <v>44</v>
      </c>
      <c r="D74" s="41" t="s">
        <v>131</v>
      </c>
      <c r="E74" s="41">
        <v>11633</v>
      </c>
      <c r="F74" s="41"/>
      <c r="G74" s="41">
        <v>2326.6</v>
      </c>
    </row>
    <row r="75" spans="1:7" x14ac:dyDescent="0.25">
      <c r="A75" s="42">
        <v>2010.5</v>
      </c>
      <c r="B75" s="42" t="s">
        <v>107</v>
      </c>
      <c r="C75" s="42" t="s">
        <v>44</v>
      </c>
      <c r="D75" s="42" t="s">
        <v>131</v>
      </c>
      <c r="E75" s="42">
        <v>13843</v>
      </c>
      <c r="F75" s="42"/>
      <c r="G75" s="42">
        <v>2768.6000000000004</v>
      </c>
    </row>
    <row r="76" spans="1:7" x14ac:dyDescent="0.25">
      <c r="A76" s="41">
        <v>2011.5</v>
      </c>
      <c r="B76" s="41" t="s">
        <v>107</v>
      </c>
      <c r="C76" s="41" t="s">
        <v>44</v>
      </c>
      <c r="D76" s="41" t="s">
        <v>131</v>
      </c>
      <c r="E76" s="41">
        <v>12856</v>
      </c>
      <c r="F76" s="41"/>
      <c r="G76" s="41">
        <v>2571.2000000000003</v>
      </c>
    </row>
    <row r="77" spans="1:7" x14ac:dyDescent="0.25">
      <c r="A77" s="42">
        <v>2012.5</v>
      </c>
      <c r="B77" s="42" t="s">
        <v>107</v>
      </c>
      <c r="C77" s="42" t="s">
        <v>44</v>
      </c>
      <c r="D77" s="42" t="s">
        <v>131</v>
      </c>
      <c r="E77" s="42">
        <v>14120</v>
      </c>
      <c r="F77" s="42"/>
      <c r="G77" s="42">
        <v>2824</v>
      </c>
    </row>
    <row r="78" spans="1:7" x14ac:dyDescent="0.25">
      <c r="A78" s="41">
        <v>2013.5</v>
      </c>
      <c r="B78" s="41" t="s">
        <v>107</v>
      </c>
      <c r="C78" s="41" t="s">
        <v>44</v>
      </c>
      <c r="D78" s="41" t="s">
        <v>131</v>
      </c>
      <c r="E78" s="41">
        <v>14730</v>
      </c>
      <c r="F78" s="41"/>
      <c r="G78" s="41">
        <v>2946</v>
      </c>
    </row>
    <row r="79" spans="1:7" x14ac:dyDescent="0.25">
      <c r="A79" s="42">
        <v>2004.5</v>
      </c>
      <c r="B79" s="42" t="s">
        <v>107</v>
      </c>
      <c r="C79" s="42" t="s">
        <v>43</v>
      </c>
      <c r="D79" s="42" t="s">
        <v>131</v>
      </c>
      <c r="E79" s="42">
        <v>1095</v>
      </c>
      <c r="F79" s="42"/>
      <c r="G79" s="42">
        <v>219</v>
      </c>
    </row>
    <row r="80" spans="1:7" x14ac:dyDescent="0.25">
      <c r="A80" s="41">
        <v>2005.5</v>
      </c>
      <c r="B80" s="41" t="s">
        <v>107</v>
      </c>
      <c r="C80" s="41" t="s">
        <v>43</v>
      </c>
      <c r="D80" s="41" t="s">
        <v>131</v>
      </c>
      <c r="E80" s="41">
        <v>2372</v>
      </c>
      <c r="F80" s="41"/>
      <c r="G80" s="41">
        <v>474.40000000000003</v>
      </c>
    </row>
    <row r="81" spans="1:7" x14ac:dyDescent="0.25">
      <c r="A81" s="42">
        <v>2006.5</v>
      </c>
      <c r="B81" s="42" t="s">
        <v>107</v>
      </c>
      <c r="C81" s="42" t="s">
        <v>43</v>
      </c>
      <c r="D81" s="42" t="s">
        <v>131</v>
      </c>
      <c r="E81" s="42">
        <v>5279</v>
      </c>
      <c r="F81" s="42"/>
      <c r="G81" s="42">
        <v>1055.8</v>
      </c>
    </row>
    <row r="82" spans="1:7" x14ac:dyDescent="0.25">
      <c r="A82" s="41">
        <v>2007.5</v>
      </c>
      <c r="B82" s="41" t="s">
        <v>107</v>
      </c>
      <c r="C82" s="41" t="s">
        <v>43</v>
      </c>
      <c r="D82" s="41" t="s">
        <v>131</v>
      </c>
      <c r="E82" s="41">
        <v>7377</v>
      </c>
      <c r="F82" s="41"/>
      <c r="G82" s="41">
        <v>1475.4</v>
      </c>
    </row>
    <row r="83" spans="1:7" x14ac:dyDescent="0.25">
      <c r="A83" s="42">
        <v>2008.5</v>
      </c>
      <c r="B83" s="42" t="s">
        <v>107</v>
      </c>
      <c r="C83" s="42" t="s">
        <v>43</v>
      </c>
      <c r="D83" s="42" t="s">
        <v>131</v>
      </c>
      <c r="E83" s="42">
        <v>10090</v>
      </c>
      <c r="F83" s="42"/>
      <c r="G83" s="42">
        <v>2018</v>
      </c>
    </row>
    <row r="84" spans="1:7" x14ac:dyDescent="0.25">
      <c r="A84" s="41">
        <v>2009.5</v>
      </c>
      <c r="B84" s="41" t="s">
        <v>107</v>
      </c>
      <c r="C84" s="41" t="s">
        <v>43</v>
      </c>
      <c r="D84" s="41" t="s">
        <v>131</v>
      </c>
      <c r="E84" s="41">
        <v>13862</v>
      </c>
      <c r="F84" s="41"/>
      <c r="G84" s="41">
        <v>2772.4</v>
      </c>
    </row>
    <row r="85" spans="1:7" x14ac:dyDescent="0.25">
      <c r="A85" s="42">
        <v>2010.5</v>
      </c>
      <c r="B85" s="42" t="s">
        <v>107</v>
      </c>
      <c r="C85" s="42" t="s">
        <v>43</v>
      </c>
      <c r="D85" s="42" t="s">
        <v>131</v>
      </c>
      <c r="E85" s="42">
        <v>17566</v>
      </c>
      <c r="F85" s="42"/>
      <c r="G85" s="42">
        <v>3513.2000000000003</v>
      </c>
    </row>
    <row r="86" spans="1:7" x14ac:dyDescent="0.25">
      <c r="A86" s="41">
        <v>2011.5</v>
      </c>
      <c r="B86" s="41" t="s">
        <v>107</v>
      </c>
      <c r="C86" s="41" t="s">
        <v>43</v>
      </c>
      <c r="D86" s="41" t="s">
        <v>131</v>
      </c>
      <c r="E86" s="41">
        <v>25347</v>
      </c>
      <c r="F86" s="41"/>
      <c r="G86" s="41">
        <v>5069.4000000000005</v>
      </c>
    </row>
    <row r="87" spans="1:7" x14ac:dyDescent="0.25">
      <c r="A87" s="42">
        <v>2012.5</v>
      </c>
      <c r="B87" s="42" t="s">
        <v>107</v>
      </c>
      <c r="C87" s="42" t="s">
        <v>43</v>
      </c>
      <c r="D87" s="42" t="s">
        <v>131</v>
      </c>
      <c r="E87" s="42">
        <v>28351</v>
      </c>
      <c r="F87" s="42"/>
      <c r="G87" s="42">
        <v>5670.2000000000007</v>
      </c>
    </row>
    <row r="88" spans="1:7" x14ac:dyDescent="0.25">
      <c r="A88" s="41">
        <v>2013.5</v>
      </c>
      <c r="B88" s="41" t="s">
        <v>107</v>
      </c>
      <c r="C88" s="41" t="s">
        <v>43</v>
      </c>
      <c r="D88" s="41" t="s">
        <v>131</v>
      </c>
      <c r="E88" s="41">
        <v>31281</v>
      </c>
      <c r="F88" s="41"/>
      <c r="G88" s="41">
        <v>6256.2000000000007</v>
      </c>
    </row>
    <row r="89" spans="1:7" x14ac:dyDescent="0.25">
      <c r="A89" s="42">
        <v>2011.5</v>
      </c>
      <c r="B89" s="42" t="s">
        <v>103</v>
      </c>
      <c r="C89" s="42" t="s">
        <v>44</v>
      </c>
      <c r="D89" s="42" t="s">
        <v>131</v>
      </c>
      <c r="E89" s="42">
        <v>2972</v>
      </c>
      <c r="F89" s="42"/>
      <c r="G89" s="42">
        <v>594.4</v>
      </c>
    </row>
    <row r="90" spans="1:7" x14ac:dyDescent="0.25">
      <c r="A90" s="41">
        <v>2011.5</v>
      </c>
      <c r="B90" s="41" t="s">
        <v>103</v>
      </c>
      <c r="C90" s="41" t="s">
        <v>43</v>
      </c>
      <c r="D90" s="41" t="s">
        <v>131</v>
      </c>
      <c r="E90" s="41">
        <v>7902</v>
      </c>
      <c r="F90" s="41"/>
      <c r="G90" s="41">
        <v>1580.4</v>
      </c>
    </row>
    <row r="91" spans="1:7" x14ac:dyDescent="0.25">
      <c r="A91" s="42">
        <v>2011.5</v>
      </c>
      <c r="B91" s="42" t="s">
        <v>106</v>
      </c>
      <c r="C91" s="42" t="s">
        <v>44</v>
      </c>
      <c r="D91" s="42" t="s">
        <v>131</v>
      </c>
      <c r="E91" s="42">
        <v>1362</v>
      </c>
      <c r="F91" s="42"/>
      <c r="G91" s="42">
        <v>272.40000000000003</v>
      </c>
    </row>
    <row r="92" spans="1:7" x14ac:dyDescent="0.25">
      <c r="A92" s="41">
        <v>2011.5</v>
      </c>
      <c r="B92" s="41" t="s">
        <v>106</v>
      </c>
      <c r="C92" s="41" t="s">
        <v>43</v>
      </c>
      <c r="D92" s="41" t="s">
        <v>131</v>
      </c>
      <c r="E92" s="41">
        <v>3766</v>
      </c>
      <c r="F92" s="41"/>
      <c r="G92" s="41">
        <v>753.2</v>
      </c>
    </row>
    <row r="93" spans="1:7" x14ac:dyDescent="0.25">
      <c r="A93" s="42">
        <v>2014.5</v>
      </c>
      <c r="B93" s="42" t="s">
        <v>102</v>
      </c>
      <c r="C93" s="42" t="s">
        <v>44</v>
      </c>
      <c r="D93" s="42" t="s">
        <v>132</v>
      </c>
      <c r="E93" s="42">
        <v>2945</v>
      </c>
      <c r="F93" s="42"/>
      <c r="G93" s="42">
        <v>589</v>
      </c>
    </row>
    <row r="94" spans="1:7" x14ac:dyDescent="0.25">
      <c r="A94" s="41">
        <v>2015.5</v>
      </c>
      <c r="B94" s="41" t="s">
        <v>102</v>
      </c>
      <c r="C94" s="41" t="s">
        <v>44</v>
      </c>
      <c r="D94" s="41" t="s">
        <v>132</v>
      </c>
      <c r="E94" s="41">
        <v>3583</v>
      </c>
      <c r="F94" s="41"/>
      <c r="G94" s="41">
        <v>716.6</v>
      </c>
    </row>
    <row r="95" spans="1:7" x14ac:dyDescent="0.25">
      <c r="A95" s="42">
        <v>2016.5</v>
      </c>
      <c r="B95" s="42" t="s">
        <v>102</v>
      </c>
      <c r="C95" s="42" t="s">
        <v>44</v>
      </c>
      <c r="D95" s="42" t="s">
        <v>132</v>
      </c>
      <c r="E95" s="42">
        <v>4109</v>
      </c>
      <c r="F95" s="42"/>
      <c r="G95" s="42">
        <v>821.80000000000007</v>
      </c>
    </row>
    <row r="96" spans="1:7" x14ac:dyDescent="0.25">
      <c r="A96" s="41">
        <v>2017.5</v>
      </c>
      <c r="B96" s="41" t="s">
        <v>102</v>
      </c>
      <c r="C96" s="41" t="s">
        <v>44</v>
      </c>
      <c r="D96" s="41" t="s">
        <v>132</v>
      </c>
      <c r="E96" s="41">
        <v>4192</v>
      </c>
      <c r="F96" s="41"/>
      <c r="G96" s="41">
        <v>838.40000000000009</v>
      </c>
    </row>
    <row r="97" spans="1:7" x14ac:dyDescent="0.25">
      <c r="A97" s="42">
        <v>2014.5</v>
      </c>
      <c r="B97" s="42" t="s">
        <v>102</v>
      </c>
      <c r="C97" s="42" t="s">
        <v>44</v>
      </c>
      <c r="D97" s="42" t="s">
        <v>131</v>
      </c>
      <c r="E97" s="42">
        <v>19157</v>
      </c>
      <c r="F97" s="42"/>
      <c r="G97" s="42">
        <v>3831.4</v>
      </c>
    </row>
    <row r="98" spans="1:7" x14ac:dyDescent="0.25">
      <c r="A98" s="41">
        <v>2015.5</v>
      </c>
      <c r="B98" s="41" t="s">
        <v>102</v>
      </c>
      <c r="C98" s="41" t="s">
        <v>44</v>
      </c>
      <c r="D98" s="41" t="s">
        <v>131</v>
      </c>
      <c r="E98" s="41">
        <v>22834</v>
      </c>
      <c r="F98" s="41"/>
      <c r="G98" s="41">
        <v>4566.8</v>
      </c>
    </row>
    <row r="99" spans="1:7" x14ac:dyDescent="0.25">
      <c r="A99" s="42">
        <v>2016.5</v>
      </c>
      <c r="B99" s="42" t="s">
        <v>102</v>
      </c>
      <c r="C99" s="42" t="s">
        <v>44</v>
      </c>
      <c r="D99" s="42" t="s">
        <v>131</v>
      </c>
      <c r="E99" s="42">
        <v>26441</v>
      </c>
      <c r="F99" s="42"/>
      <c r="G99" s="42">
        <v>5288.2000000000007</v>
      </c>
    </row>
    <row r="100" spans="1:7" x14ac:dyDescent="0.25">
      <c r="A100" s="41">
        <v>2017.5</v>
      </c>
      <c r="B100" s="41" t="s">
        <v>102</v>
      </c>
      <c r="C100" s="41" t="s">
        <v>44</v>
      </c>
      <c r="D100" s="41" t="s">
        <v>131</v>
      </c>
      <c r="E100" s="41">
        <v>29220</v>
      </c>
      <c r="F100" s="41"/>
      <c r="G100" s="41">
        <v>5844</v>
      </c>
    </row>
    <row r="101" spans="1:7" x14ac:dyDescent="0.25">
      <c r="A101" s="42">
        <v>2014.5</v>
      </c>
      <c r="B101" s="42" t="s">
        <v>102</v>
      </c>
      <c r="C101" s="42" t="s">
        <v>43</v>
      </c>
      <c r="D101" s="42" t="s">
        <v>132</v>
      </c>
      <c r="E101" s="42">
        <v>3431</v>
      </c>
      <c r="F101" s="42"/>
      <c r="G101" s="42">
        <v>686.2</v>
      </c>
    </row>
    <row r="102" spans="1:7" x14ac:dyDescent="0.25">
      <c r="A102" s="41">
        <v>2015.5</v>
      </c>
      <c r="B102" s="41" t="s">
        <v>102</v>
      </c>
      <c r="C102" s="41" t="s">
        <v>43</v>
      </c>
      <c r="D102" s="41" t="s">
        <v>132</v>
      </c>
      <c r="E102" s="41">
        <v>3835</v>
      </c>
      <c r="F102" s="41"/>
      <c r="G102" s="41">
        <v>767</v>
      </c>
    </row>
    <row r="103" spans="1:7" x14ac:dyDescent="0.25">
      <c r="A103" s="42">
        <v>2016.5</v>
      </c>
      <c r="B103" s="42" t="s">
        <v>102</v>
      </c>
      <c r="C103" s="42" t="s">
        <v>43</v>
      </c>
      <c r="D103" s="42" t="s">
        <v>132</v>
      </c>
      <c r="E103" s="42">
        <v>4426</v>
      </c>
      <c r="F103" s="42"/>
      <c r="G103" s="42">
        <v>885.2</v>
      </c>
    </row>
    <row r="104" spans="1:7" x14ac:dyDescent="0.25">
      <c r="A104" s="41">
        <v>2017.5</v>
      </c>
      <c r="B104" s="41" t="s">
        <v>102</v>
      </c>
      <c r="C104" s="41" t="s">
        <v>43</v>
      </c>
      <c r="D104" s="41" t="s">
        <v>132</v>
      </c>
      <c r="E104" s="41">
        <v>4535</v>
      </c>
      <c r="F104" s="41"/>
      <c r="G104" s="41">
        <v>907</v>
      </c>
    </row>
    <row r="105" spans="1:7" x14ac:dyDescent="0.25">
      <c r="A105" s="42">
        <v>2014.5</v>
      </c>
      <c r="B105" s="42" t="s">
        <v>102</v>
      </c>
      <c r="C105" s="42" t="s">
        <v>43</v>
      </c>
      <c r="D105" s="42" t="s">
        <v>131</v>
      </c>
      <c r="E105" s="42">
        <v>40118</v>
      </c>
      <c r="F105" s="42"/>
      <c r="G105" s="42">
        <v>8023.6</v>
      </c>
    </row>
    <row r="106" spans="1:7" x14ac:dyDescent="0.25">
      <c r="A106" s="41">
        <v>2015.5</v>
      </c>
      <c r="B106" s="41" t="s">
        <v>102</v>
      </c>
      <c r="C106" s="41" t="s">
        <v>43</v>
      </c>
      <c r="D106" s="41" t="s">
        <v>131</v>
      </c>
      <c r="E106" s="41">
        <v>49956</v>
      </c>
      <c r="F106" s="41"/>
      <c r="G106" s="41">
        <v>9991.2000000000007</v>
      </c>
    </row>
    <row r="107" spans="1:7" x14ac:dyDescent="0.25">
      <c r="A107" s="42">
        <v>2016.5</v>
      </c>
      <c r="B107" s="42" t="s">
        <v>102</v>
      </c>
      <c r="C107" s="42" t="s">
        <v>43</v>
      </c>
      <c r="D107" s="42" t="s">
        <v>131</v>
      </c>
      <c r="E107" s="42">
        <v>57286</v>
      </c>
      <c r="F107" s="42"/>
      <c r="G107" s="42">
        <v>11457.2</v>
      </c>
    </row>
    <row r="108" spans="1:7" x14ac:dyDescent="0.25">
      <c r="A108" s="41">
        <v>2017.5</v>
      </c>
      <c r="B108" s="41" t="s">
        <v>102</v>
      </c>
      <c r="C108" s="41" t="s">
        <v>43</v>
      </c>
      <c r="D108" s="41" t="s">
        <v>131</v>
      </c>
      <c r="E108" s="41">
        <v>61811</v>
      </c>
      <c r="F108" s="41"/>
      <c r="G108" s="41">
        <v>12362.2</v>
      </c>
    </row>
    <row r="109" spans="1:7" x14ac:dyDescent="0.25">
      <c r="A109" s="42">
        <v>2014.5</v>
      </c>
      <c r="B109" s="42" t="s">
        <v>103</v>
      </c>
      <c r="C109" s="42" t="s">
        <v>44</v>
      </c>
      <c r="D109" s="42" t="s">
        <v>132</v>
      </c>
      <c r="E109" s="42">
        <v>828</v>
      </c>
      <c r="F109" s="42"/>
      <c r="G109" s="42">
        <v>165.60000000000002</v>
      </c>
    </row>
    <row r="110" spans="1:7" x14ac:dyDescent="0.25">
      <c r="A110" s="41">
        <v>2015.5</v>
      </c>
      <c r="B110" s="41" t="s">
        <v>103</v>
      </c>
      <c r="C110" s="41" t="s">
        <v>44</v>
      </c>
      <c r="D110" s="41" t="s">
        <v>132</v>
      </c>
      <c r="E110" s="41">
        <v>993</v>
      </c>
      <c r="F110" s="41"/>
      <c r="G110" s="41">
        <v>198.60000000000002</v>
      </c>
    </row>
    <row r="111" spans="1:7" x14ac:dyDescent="0.25">
      <c r="A111" s="42">
        <v>2016.5</v>
      </c>
      <c r="B111" s="42" t="s">
        <v>103</v>
      </c>
      <c r="C111" s="42" t="s">
        <v>44</v>
      </c>
      <c r="D111" s="42" t="s">
        <v>132</v>
      </c>
      <c r="E111" s="42">
        <v>1109</v>
      </c>
      <c r="F111" s="42"/>
      <c r="G111" s="42">
        <v>221.8</v>
      </c>
    </row>
    <row r="112" spans="1:7" x14ac:dyDescent="0.25">
      <c r="A112" s="41">
        <v>2017.5</v>
      </c>
      <c r="B112" s="41" t="s">
        <v>103</v>
      </c>
      <c r="C112" s="41" t="s">
        <v>44</v>
      </c>
      <c r="D112" s="41" t="s">
        <v>132</v>
      </c>
      <c r="E112" s="41">
        <v>1083</v>
      </c>
      <c r="F112" s="41"/>
      <c r="G112" s="41">
        <v>216.60000000000002</v>
      </c>
    </row>
    <row r="113" spans="1:7" x14ac:dyDescent="0.25">
      <c r="A113" s="42">
        <v>2014.5</v>
      </c>
      <c r="B113" s="42" t="s">
        <v>103</v>
      </c>
      <c r="C113" s="42" t="s">
        <v>44</v>
      </c>
      <c r="D113" s="42" t="s">
        <v>131</v>
      </c>
      <c r="E113" s="42">
        <v>4614</v>
      </c>
      <c r="F113" s="42"/>
      <c r="G113" s="42">
        <v>922.80000000000007</v>
      </c>
    </row>
    <row r="114" spans="1:7" x14ac:dyDescent="0.25">
      <c r="A114" s="41">
        <v>2015.5</v>
      </c>
      <c r="B114" s="41" t="s">
        <v>103</v>
      </c>
      <c r="C114" s="41" t="s">
        <v>44</v>
      </c>
      <c r="D114" s="41" t="s">
        <v>131</v>
      </c>
      <c r="E114" s="41">
        <v>5451</v>
      </c>
      <c r="F114" s="41"/>
      <c r="G114" s="41">
        <v>1090.2</v>
      </c>
    </row>
    <row r="115" spans="1:7" x14ac:dyDescent="0.25">
      <c r="A115" s="42">
        <v>2016.5</v>
      </c>
      <c r="B115" s="42" t="s">
        <v>103</v>
      </c>
      <c r="C115" s="42" t="s">
        <v>44</v>
      </c>
      <c r="D115" s="42" t="s">
        <v>131</v>
      </c>
      <c r="E115" s="42">
        <v>6604</v>
      </c>
      <c r="F115" s="42"/>
      <c r="G115" s="42">
        <v>1320.8000000000002</v>
      </c>
    </row>
    <row r="116" spans="1:7" x14ac:dyDescent="0.25">
      <c r="A116" s="41">
        <v>2017.5</v>
      </c>
      <c r="B116" s="41" t="s">
        <v>103</v>
      </c>
      <c r="C116" s="41" t="s">
        <v>44</v>
      </c>
      <c r="D116" s="41" t="s">
        <v>131</v>
      </c>
      <c r="E116" s="41">
        <v>7169</v>
      </c>
      <c r="F116" s="41"/>
      <c r="G116" s="41">
        <v>1433.8000000000002</v>
      </c>
    </row>
    <row r="117" spans="1:7" x14ac:dyDescent="0.25">
      <c r="A117" s="42">
        <v>2014.5</v>
      </c>
      <c r="B117" s="42" t="s">
        <v>103</v>
      </c>
      <c r="C117" s="42" t="s">
        <v>43</v>
      </c>
      <c r="D117" s="42" t="s">
        <v>132</v>
      </c>
      <c r="E117" s="42">
        <v>906</v>
      </c>
      <c r="F117" s="42"/>
      <c r="G117" s="42">
        <v>181.20000000000002</v>
      </c>
    </row>
    <row r="118" spans="1:7" x14ac:dyDescent="0.25">
      <c r="A118" s="41">
        <v>2015.5</v>
      </c>
      <c r="B118" s="41" t="s">
        <v>103</v>
      </c>
      <c r="C118" s="41" t="s">
        <v>43</v>
      </c>
      <c r="D118" s="41" t="s">
        <v>132</v>
      </c>
      <c r="E118" s="41">
        <v>1079</v>
      </c>
      <c r="F118" s="41"/>
      <c r="G118" s="41">
        <v>215.8</v>
      </c>
    </row>
    <row r="119" spans="1:7" x14ac:dyDescent="0.25">
      <c r="A119" s="42">
        <v>2016.5</v>
      </c>
      <c r="B119" s="42" t="s">
        <v>103</v>
      </c>
      <c r="C119" s="42" t="s">
        <v>43</v>
      </c>
      <c r="D119" s="42" t="s">
        <v>132</v>
      </c>
      <c r="E119" s="42">
        <v>1200</v>
      </c>
      <c r="F119" s="42"/>
      <c r="G119" s="42">
        <v>240</v>
      </c>
    </row>
    <row r="120" spans="1:7" x14ac:dyDescent="0.25">
      <c r="A120" s="41">
        <v>2017.5</v>
      </c>
      <c r="B120" s="41" t="s">
        <v>103</v>
      </c>
      <c r="C120" s="41" t="s">
        <v>43</v>
      </c>
      <c r="D120" s="41" t="s">
        <v>132</v>
      </c>
      <c r="E120" s="41">
        <v>1146</v>
      </c>
      <c r="F120" s="41"/>
      <c r="G120" s="41">
        <v>229.20000000000002</v>
      </c>
    </row>
    <row r="121" spans="1:7" x14ac:dyDescent="0.25">
      <c r="A121" s="42">
        <v>2014.5</v>
      </c>
      <c r="B121" s="42" t="s">
        <v>103</v>
      </c>
      <c r="C121" s="42" t="s">
        <v>43</v>
      </c>
      <c r="D121" s="42" t="s">
        <v>131</v>
      </c>
      <c r="E121" s="42">
        <v>11691</v>
      </c>
      <c r="F121" s="42"/>
      <c r="G121" s="42">
        <v>2338.2000000000003</v>
      </c>
    </row>
    <row r="122" spans="1:7" x14ac:dyDescent="0.25">
      <c r="A122" s="41">
        <v>2015.5</v>
      </c>
      <c r="B122" s="41" t="s">
        <v>103</v>
      </c>
      <c r="C122" s="41" t="s">
        <v>43</v>
      </c>
      <c r="D122" s="41" t="s">
        <v>131</v>
      </c>
      <c r="E122" s="41">
        <v>14350</v>
      </c>
      <c r="F122" s="41"/>
      <c r="G122" s="41">
        <v>2870</v>
      </c>
    </row>
    <row r="123" spans="1:7" x14ac:dyDescent="0.25">
      <c r="A123" s="42">
        <v>2016.5</v>
      </c>
      <c r="B123" s="42" t="s">
        <v>103</v>
      </c>
      <c r="C123" s="42" t="s">
        <v>43</v>
      </c>
      <c r="D123" s="42" t="s">
        <v>131</v>
      </c>
      <c r="E123" s="42">
        <v>17274</v>
      </c>
      <c r="F123" s="42"/>
      <c r="G123" s="42">
        <v>3454.8</v>
      </c>
    </row>
    <row r="124" spans="1:7" x14ac:dyDescent="0.25">
      <c r="A124" s="41">
        <v>2017.5</v>
      </c>
      <c r="B124" s="41" t="s">
        <v>103</v>
      </c>
      <c r="C124" s="41" t="s">
        <v>43</v>
      </c>
      <c r="D124" s="41" t="s">
        <v>131</v>
      </c>
      <c r="E124" s="41">
        <v>19044</v>
      </c>
      <c r="F124" s="41"/>
      <c r="G124" s="41">
        <v>3808.8</v>
      </c>
    </row>
    <row r="125" spans="1:7" x14ac:dyDescent="0.25">
      <c r="A125" s="42">
        <v>2014.5</v>
      </c>
      <c r="B125" s="42" t="s">
        <v>104</v>
      </c>
      <c r="C125" s="42" t="s">
        <v>44</v>
      </c>
      <c r="D125" s="42" t="s">
        <v>132</v>
      </c>
      <c r="E125" s="42">
        <v>3101</v>
      </c>
      <c r="F125" s="42"/>
      <c r="G125" s="42">
        <v>620.20000000000005</v>
      </c>
    </row>
    <row r="126" spans="1:7" x14ac:dyDescent="0.25">
      <c r="A126" s="41">
        <v>2015.5</v>
      </c>
      <c r="B126" s="41" t="s">
        <v>104</v>
      </c>
      <c r="C126" s="41" t="s">
        <v>44</v>
      </c>
      <c r="D126" s="41" t="s">
        <v>132</v>
      </c>
      <c r="E126" s="41">
        <v>3245</v>
      </c>
      <c r="F126" s="41"/>
      <c r="G126" s="41">
        <v>649</v>
      </c>
    </row>
    <row r="127" spans="1:7" x14ac:dyDescent="0.25">
      <c r="A127" s="42">
        <v>2016.5</v>
      </c>
      <c r="B127" s="42" t="s">
        <v>104</v>
      </c>
      <c r="C127" s="42" t="s">
        <v>44</v>
      </c>
      <c r="D127" s="42" t="s">
        <v>132</v>
      </c>
      <c r="E127" s="42">
        <v>3525</v>
      </c>
      <c r="F127" s="42"/>
      <c r="G127" s="42">
        <v>705</v>
      </c>
    </row>
    <row r="128" spans="1:7" x14ac:dyDescent="0.25">
      <c r="A128" s="41">
        <v>2017.5</v>
      </c>
      <c r="B128" s="41" t="s">
        <v>104</v>
      </c>
      <c r="C128" s="41" t="s">
        <v>44</v>
      </c>
      <c r="D128" s="41" t="s">
        <v>132</v>
      </c>
      <c r="E128" s="41">
        <v>3607</v>
      </c>
      <c r="F128" s="41"/>
      <c r="G128" s="41">
        <v>721.40000000000009</v>
      </c>
    </row>
    <row r="129" spans="1:7" x14ac:dyDescent="0.25">
      <c r="A129" s="42">
        <v>2014.5</v>
      </c>
      <c r="B129" s="42" t="s">
        <v>104</v>
      </c>
      <c r="C129" s="42" t="s">
        <v>44</v>
      </c>
      <c r="D129" s="42" t="s">
        <v>131</v>
      </c>
      <c r="E129" s="42">
        <v>21216</v>
      </c>
      <c r="F129" s="42"/>
      <c r="G129" s="42">
        <v>4243.2</v>
      </c>
    </row>
    <row r="130" spans="1:7" x14ac:dyDescent="0.25">
      <c r="A130" s="41">
        <v>2015.5</v>
      </c>
      <c r="B130" s="41" t="s">
        <v>104</v>
      </c>
      <c r="C130" s="41" t="s">
        <v>44</v>
      </c>
      <c r="D130" s="41" t="s">
        <v>131</v>
      </c>
      <c r="E130" s="41">
        <v>24550</v>
      </c>
      <c r="F130" s="41"/>
      <c r="G130" s="41">
        <v>4910</v>
      </c>
    </row>
    <row r="131" spans="1:7" x14ac:dyDescent="0.25">
      <c r="A131" s="42">
        <v>2016.5</v>
      </c>
      <c r="B131" s="42" t="s">
        <v>104</v>
      </c>
      <c r="C131" s="42" t="s">
        <v>44</v>
      </c>
      <c r="D131" s="42" t="s">
        <v>131</v>
      </c>
      <c r="E131" s="42">
        <v>28082</v>
      </c>
      <c r="F131" s="42"/>
      <c r="G131" s="42">
        <v>5616.4000000000005</v>
      </c>
    </row>
    <row r="132" spans="1:7" x14ac:dyDescent="0.25">
      <c r="A132" s="41">
        <v>2017.5</v>
      </c>
      <c r="B132" s="41" t="s">
        <v>104</v>
      </c>
      <c r="C132" s="41" t="s">
        <v>44</v>
      </c>
      <c r="D132" s="41" t="s">
        <v>131</v>
      </c>
      <c r="E132" s="41">
        <v>31021</v>
      </c>
      <c r="F132" s="41"/>
      <c r="G132" s="41">
        <v>6204.2000000000007</v>
      </c>
    </row>
    <row r="133" spans="1:7" x14ac:dyDescent="0.25">
      <c r="A133" s="42">
        <v>2014.5</v>
      </c>
      <c r="B133" s="42" t="s">
        <v>104</v>
      </c>
      <c r="C133" s="42" t="s">
        <v>43</v>
      </c>
      <c r="D133" s="42" t="s">
        <v>132</v>
      </c>
      <c r="E133" s="42">
        <v>3241</v>
      </c>
      <c r="F133" s="42"/>
      <c r="G133" s="42">
        <v>648.20000000000005</v>
      </c>
    </row>
    <row r="134" spans="1:7" x14ac:dyDescent="0.25">
      <c r="A134" s="41">
        <v>2015.5</v>
      </c>
      <c r="B134" s="41" t="s">
        <v>104</v>
      </c>
      <c r="C134" s="41" t="s">
        <v>43</v>
      </c>
      <c r="D134" s="41" t="s">
        <v>132</v>
      </c>
      <c r="E134" s="41">
        <v>3393</v>
      </c>
      <c r="F134" s="41"/>
      <c r="G134" s="41">
        <v>678.6</v>
      </c>
    </row>
    <row r="135" spans="1:7" x14ac:dyDescent="0.25">
      <c r="A135" s="42">
        <v>2016.5</v>
      </c>
      <c r="B135" s="42" t="s">
        <v>104</v>
      </c>
      <c r="C135" s="42" t="s">
        <v>43</v>
      </c>
      <c r="D135" s="42" t="s">
        <v>132</v>
      </c>
      <c r="E135" s="42">
        <v>3810</v>
      </c>
      <c r="F135" s="42"/>
      <c r="G135" s="42">
        <v>762</v>
      </c>
    </row>
    <row r="136" spans="1:7" x14ac:dyDescent="0.25">
      <c r="A136" s="41">
        <v>2017.5</v>
      </c>
      <c r="B136" s="41" t="s">
        <v>104</v>
      </c>
      <c r="C136" s="41" t="s">
        <v>43</v>
      </c>
      <c r="D136" s="41" t="s">
        <v>132</v>
      </c>
      <c r="E136" s="41">
        <v>3831</v>
      </c>
      <c r="F136" s="41"/>
      <c r="G136" s="41">
        <v>766.2</v>
      </c>
    </row>
    <row r="137" spans="1:7" x14ac:dyDescent="0.25">
      <c r="A137" s="42">
        <v>2014.5</v>
      </c>
      <c r="B137" s="42" t="s">
        <v>104</v>
      </c>
      <c r="C137" s="42" t="s">
        <v>43</v>
      </c>
      <c r="D137" s="42" t="s">
        <v>131</v>
      </c>
      <c r="E137" s="42">
        <v>41230</v>
      </c>
      <c r="F137" s="42"/>
      <c r="G137" s="42">
        <v>8246</v>
      </c>
    </row>
    <row r="138" spans="1:7" x14ac:dyDescent="0.25">
      <c r="A138" s="41">
        <v>2015.5</v>
      </c>
      <c r="B138" s="41" t="s">
        <v>104</v>
      </c>
      <c r="C138" s="41" t="s">
        <v>43</v>
      </c>
      <c r="D138" s="41" t="s">
        <v>131</v>
      </c>
      <c r="E138" s="41">
        <v>48424</v>
      </c>
      <c r="F138" s="41"/>
      <c r="G138" s="41">
        <v>9684.8000000000011</v>
      </c>
    </row>
    <row r="139" spans="1:7" x14ac:dyDescent="0.25">
      <c r="A139" s="42">
        <v>2016.5</v>
      </c>
      <c r="B139" s="42" t="s">
        <v>104</v>
      </c>
      <c r="C139" s="42" t="s">
        <v>43</v>
      </c>
      <c r="D139" s="42" t="s">
        <v>131</v>
      </c>
      <c r="E139" s="42">
        <v>56384</v>
      </c>
      <c r="F139" s="42"/>
      <c r="G139" s="42">
        <v>11276.800000000001</v>
      </c>
    </row>
    <row r="140" spans="1:7" x14ac:dyDescent="0.25">
      <c r="A140" s="41">
        <v>2017.5</v>
      </c>
      <c r="B140" s="41" t="s">
        <v>104</v>
      </c>
      <c r="C140" s="41" t="s">
        <v>43</v>
      </c>
      <c r="D140" s="41" t="s">
        <v>131</v>
      </c>
      <c r="E140" s="41">
        <v>60789</v>
      </c>
      <c r="F140" s="41"/>
      <c r="G140" s="41">
        <v>12157.800000000001</v>
      </c>
    </row>
    <row r="141" spans="1:7" x14ac:dyDescent="0.25">
      <c r="A141" s="42">
        <v>2014.5</v>
      </c>
      <c r="B141" s="42" t="s">
        <v>105</v>
      </c>
      <c r="C141" s="42" t="s">
        <v>44</v>
      </c>
      <c r="D141" s="42" t="s">
        <v>132</v>
      </c>
      <c r="E141" s="42">
        <v>2309</v>
      </c>
      <c r="F141" s="42"/>
      <c r="G141" s="42">
        <v>461.8</v>
      </c>
    </row>
    <row r="142" spans="1:7" x14ac:dyDescent="0.25">
      <c r="A142" s="41">
        <v>2015.5</v>
      </c>
      <c r="B142" s="41" t="s">
        <v>105</v>
      </c>
      <c r="C142" s="41" t="s">
        <v>44</v>
      </c>
      <c r="D142" s="41" t="s">
        <v>132</v>
      </c>
      <c r="E142" s="41">
        <v>2295</v>
      </c>
      <c r="F142" s="41"/>
      <c r="G142" s="41">
        <v>459</v>
      </c>
    </row>
    <row r="143" spans="1:7" x14ac:dyDescent="0.25">
      <c r="A143" s="42">
        <v>2016.5</v>
      </c>
      <c r="B143" s="42" t="s">
        <v>105</v>
      </c>
      <c r="C143" s="42" t="s">
        <v>44</v>
      </c>
      <c r="D143" s="42" t="s">
        <v>132</v>
      </c>
      <c r="E143" s="42">
        <v>2678</v>
      </c>
      <c r="F143" s="42"/>
      <c r="G143" s="42">
        <v>535.6</v>
      </c>
    </row>
    <row r="144" spans="1:7" x14ac:dyDescent="0.25">
      <c r="A144" s="41">
        <v>2017.5</v>
      </c>
      <c r="B144" s="41" t="s">
        <v>105</v>
      </c>
      <c r="C144" s="41" t="s">
        <v>44</v>
      </c>
      <c r="D144" s="41" t="s">
        <v>132</v>
      </c>
      <c r="E144" s="41">
        <v>2673</v>
      </c>
      <c r="F144" s="41"/>
      <c r="G144" s="41">
        <v>534.6</v>
      </c>
    </row>
    <row r="145" spans="1:7" x14ac:dyDescent="0.25">
      <c r="A145" s="42">
        <v>2014.5</v>
      </c>
      <c r="B145" s="42" t="s">
        <v>105</v>
      </c>
      <c r="C145" s="42" t="s">
        <v>44</v>
      </c>
      <c r="D145" s="42" t="s">
        <v>131</v>
      </c>
      <c r="E145" s="42">
        <v>13929</v>
      </c>
      <c r="F145" s="42"/>
      <c r="G145" s="42">
        <v>2785.8</v>
      </c>
    </row>
    <row r="146" spans="1:7" x14ac:dyDescent="0.25">
      <c r="A146" s="41">
        <v>2015.5</v>
      </c>
      <c r="B146" s="41" t="s">
        <v>105</v>
      </c>
      <c r="C146" s="41" t="s">
        <v>44</v>
      </c>
      <c r="D146" s="41" t="s">
        <v>131</v>
      </c>
      <c r="E146" s="41">
        <v>15165</v>
      </c>
      <c r="F146" s="41"/>
      <c r="G146" s="41">
        <v>3033</v>
      </c>
    </row>
    <row r="147" spans="1:7" x14ac:dyDescent="0.25">
      <c r="A147" s="42">
        <v>2016.5</v>
      </c>
      <c r="B147" s="42" t="s">
        <v>105</v>
      </c>
      <c r="C147" s="42" t="s">
        <v>44</v>
      </c>
      <c r="D147" s="42" t="s">
        <v>131</v>
      </c>
      <c r="E147" s="42">
        <v>17438</v>
      </c>
      <c r="F147" s="42"/>
      <c r="G147" s="42">
        <v>3487.6000000000004</v>
      </c>
    </row>
    <row r="148" spans="1:7" x14ac:dyDescent="0.25">
      <c r="A148" s="41">
        <v>2017.5</v>
      </c>
      <c r="B148" s="41" t="s">
        <v>105</v>
      </c>
      <c r="C148" s="41" t="s">
        <v>44</v>
      </c>
      <c r="D148" s="41" t="s">
        <v>131</v>
      </c>
      <c r="E148" s="41">
        <v>18455</v>
      </c>
      <c r="F148" s="41"/>
      <c r="G148" s="41">
        <v>3691</v>
      </c>
    </row>
    <row r="149" spans="1:7" x14ac:dyDescent="0.25">
      <c r="A149" s="42">
        <v>2014.5</v>
      </c>
      <c r="B149" s="42" t="s">
        <v>105</v>
      </c>
      <c r="C149" s="42" t="s">
        <v>43</v>
      </c>
      <c r="D149" s="42" t="s">
        <v>132</v>
      </c>
      <c r="E149" s="42">
        <v>2526</v>
      </c>
      <c r="F149" s="42"/>
      <c r="G149" s="42">
        <v>505.20000000000005</v>
      </c>
    </row>
    <row r="150" spans="1:7" x14ac:dyDescent="0.25">
      <c r="A150" s="41">
        <v>2015.5</v>
      </c>
      <c r="B150" s="41" t="s">
        <v>105</v>
      </c>
      <c r="C150" s="41" t="s">
        <v>43</v>
      </c>
      <c r="D150" s="41" t="s">
        <v>132</v>
      </c>
      <c r="E150" s="41">
        <v>2448</v>
      </c>
      <c r="F150" s="41"/>
      <c r="G150" s="41">
        <v>489.6</v>
      </c>
    </row>
    <row r="151" spans="1:7" x14ac:dyDescent="0.25">
      <c r="A151" s="42">
        <v>2016.5</v>
      </c>
      <c r="B151" s="42" t="s">
        <v>105</v>
      </c>
      <c r="C151" s="42" t="s">
        <v>43</v>
      </c>
      <c r="D151" s="42" t="s">
        <v>132</v>
      </c>
      <c r="E151" s="42">
        <v>2868</v>
      </c>
      <c r="F151" s="42"/>
      <c r="G151" s="42">
        <v>573.6</v>
      </c>
    </row>
    <row r="152" spans="1:7" x14ac:dyDescent="0.25">
      <c r="A152" s="41">
        <v>2017.5</v>
      </c>
      <c r="B152" s="41" t="s">
        <v>105</v>
      </c>
      <c r="C152" s="41" t="s">
        <v>43</v>
      </c>
      <c r="D152" s="41" t="s">
        <v>132</v>
      </c>
      <c r="E152" s="41">
        <v>2884</v>
      </c>
      <c r="F152" s="41"/>
      <c r="G152" s="41">
        <v>576.80000000000007</v>
      </c>
    </row>
    <row r="153" spans="1:7" x14ac:dyDescent="0.25">
      <c r="A153" s="42">
        <v>2014.5</v>
      </c>
      <c r="B153" s="42" t="s">
        <v>105</v>
      </c>
      <c r="C153" s="42" t="s">
        <v>43</v>
      </c>
      <c r="D153" s="42" t="s">
        <v>131</v>
      </c>
      <c r="E153" s="42">
        <v>27896</v>
      </c>
      <c r="F153" s="42"/>
      <c r="G153" s="42">
        <v>5579.2000000000007</v>
      </c>
    </row>
    <row r="154" spans="1:7" x14ac:dyDescent="0.25">
      <c r="A154" s="41">
        <v>2015.5</v>
      </c>
      <c r="B154" s="41" t="s">
        <v>105</v>
      </c>
      <c r="C154" s="41" t="s">
        <v>43</v>
      </c>
      <c r="D154" s="41" t="s">
        <v>131</v>
      </c>
      <c r="E154" s="41">
        <v>31964</v>
      </c>
      <c r="F154" s="41"/>
      <c r="G154" s="41">
        <v>6392.8</v>
      </c>
    </row>
    <row r="155" spans="1:7" x14ac:dyDescent="0.25">
      <c r="A155" s="42">
        <v>2016.5</v>
      </c>
      <c r="B155" s="42" t="s">
        <v>105</v>
      </c>
      <c r="C155" s="42" t="s">
        <v>43</v>
      </c>
      <c r="D155" s="42" t="s">
        <v>131</v>
      </c>
      <c r="E155" s="42">
        <v>38637</v>
      </c>
      <c r="F155" s="42"/>
      <c r="G155" s="42">
        <v>7727.4000000000005</v>
      </c>
    </row>
    <row r="156" spans="1:7" x14ac:dyDescent="0.25">
      <c r="A156" s="41">
        <v>2017.5</v>
      </c>
      <c r="B156" s="41" t="s">
        <v>105</v>
      </c>
      <c r="C156" s="41" t="s">
        <v>43</v>
      </c>
      <c r="D156" s="41" t="s">
        <v>131</v>
      </c>
      <c r="E156" s="41">
        <v>40891</v>
      </c>
      <c r="F156" s="41"/>
      <c r="G156" s="41">
        <v>8178.2000000000007</v>
      </c>
    </row>
    <row r="157" spans="1:7" x14ac:dyDescent="0.25">
      <c r="A157" s="42">
        <v>2014.5</v>
      </c>
      <c r="B157" s="42" t="s">
        <v>106</v>
      </c>
      <c r="C157" s="42" t="s">
        <v>44</v>
      </c>
      <c r="D157" s="42" t="s">
        <v>132</v>
      </c>
      <c r="E157" s="42">
        <v>484</v>
      </c>
      <c r="F157" s="42"/>
      <c r="G157" s="42">
        <v>96.800000000000011</v>
      </c>
    </row>
    <row r="158" spans="1:7" x14ac:dyDescent="0.25">
      <c r="A158" s="41">
        <v>2015.5</v>
      </c>
      <c r="B158" s="41" t="s">
        <v>106</v>
      </c>
      <c r="C158" s="41" t="s">
        <v>44</v>
      </c>
      <c r="D158" s="41" t="s">
        <v>132</v>
      </c>
      <c r="E158" s="41">
        <v>552</v>
      </c>
      <c r="F158" s="41"/>
      <c r="G158" s="41">
        <v>110.4</v>
      </c>
    </row>
    <row r="159" spans="1:7" x14ac:dyDescent="0.25">
      <c r="A159" s="42">
        <v>2016.5</v>
      </c>
      <c r="B159" s="42" t="s">
        <v>106</v>
      </c>
      <c r="C159" s="42" t="s">
        <v>44</v>
      </c>
      <c r="D159" s="42" t="s">
        <v>132</v>
      </c>
      <c r="E159" s="42">
        <v>578</v>
      </c>
      <c r="F159" s="42"/>
      <c r="G159" s="42">
        <v>115.60000000000001</v>
      </c>
    </row>
    <row r="160" spans="1:7" x14ac:dyDescent="0.25">
      <c r="A160" s="41">
        <v>2017.5</v>
      </c>
      <c r="B160" s="41" t="s">
        <v>106</v>
      </c>
      <c r="C160" s="41" t="s">
        <v>44</v>
      </c>
      <c r="D160" s="41" t="s">
        <v>132</v>
      </c>
      <c r="E160" s="41">
        <v>611</v>
      </c>
      <c r="F160" s="41"/>
      <c r="G160" s="41">
        <v>122.2</v>
      </c>
    </row>
    <row r="161" spans="1:7" x14ac:dyDescent="0.25">
      <c r="A161" s="42">
        <v>2014.5</v>
      </c>
      <c r="B161" s="42" t="s">
        <v>106</v>
      </c>
      <c r="C161" s="42" t="s">
        <v>44</v>
      </c>
      <c r="D161" s="42" t="s">
        <v>131</v>
      </c>
      <c r="E161" s="42">
        <v>2120</v>
      </c>
      <c r="F161" s="42"/>
      <c r="G161" s="42">
        <v>424</v>
      </c>
    </row>
    <row r="162" spans="1:7" x14ac:dyDescent="0.25">
      <c r="A162" s="41">
        <v>2015.5</v>
      </c>
      <c r="B162" s="41" t="s">
        <v>106</v>
      </c>
      <c r="C162" s="41" t="s">
        <v>44</v>
      </c>
      <c r="D162" s="41" t="s">
        <v>131</v>
      </c>
      <c r="E162" s="41">
        <v>2585</v>
      </c>
      <c r="F162" s="41"/>
      <c r="G162" s="41">
        <v>517</v>
      </c>
    </row>
    <row r="163" spans="1:7" x14ac:dyDescent="0.25">
      <c r="A163" s="42">
        <v>2016.5</v>
      </c>
      <c r="B163" s="42" t="s">
        <v>106</v>
      </c>
      <c r="C163" s="42" t="s">
        <v>44</v>
      </c>
      <c r="D163" s="42" t="s">
        <v>131</v>
      </c>
      <c r="E163" s="42">
        <v>3142</v>
      </c>
      <c r="F163" s="42"/>
      <c r="G163" s="42">
        <v>628.40000000000009</v>
      </c>
    </row>
    <row r="164" spans="1:7" x14ac:dyDescent="0.25">
      <c r="A164" s="41">
        <v>2017.5</v>
      </c>
      <c r="B164" s="41" t="s">
        <v>106</v>
      </c>
      <c r="C164" s="41" t="s">
        <v>44</v>
      </c>
      <c r="D164" s="41" t="s">
        <v>131</v>
      </c>
      <c r="E164" s="41">
        <v>3474</v>
      </c>
      <c r="F164" s="41"/>
      <c r="G164" s="41">
        <v>694.80000000000007</v>
      </c>
    </row>
    <row r="165" spans="1:7" x14ac:dyDescent="0.25">
      <c r="A165" s="42">
        <v>2014.5</v>
      </c>
      <c r="B165" s="42" t="s">
        <v>106</v>
      </c>
      <c r="C165" s="42" t="s">
        <v>43</v>
      </c>
      <c r="D165" s="42" t="s">
        <v>132</v>
      </c>
      <c r="E165" s="42">
        <v>506</v>
      </c>
      <c r="F165" s="42"/>
      <c r="G165" s="42">
        <v>101.2</v>
      </c>
    </row>
    <row r="166" spans="1:7" x14ac:dyDescent="0.25">
      <c r="A166" s="41">
        <v>2015.5</v>
      </c>
      <c r="B166" s="41" t="s">
        <v>106</v>
      </c>
      <c r="C166" s="41" t="s">
        <v>43</v>
      </c>
      <c r="D166" s="41" t="s">
        <v>132</v>
      </c>
      <c r="E166" s="41">
        <v>567</v>
      </c>
      <c r="F166" s="41"/>
      <c r="G166" s="41">
        <v>113.4</v>
      </c>
    </row>
    <row r="167" spans="1:7" x14ac:dyDescent="0.25">
      <c r="A167" s="42">
        <v>2016.5</v>
      </c>
      <c r="B167" s="42" t="s">
        <v>106</v>
      </c>
      <c r="C167" s="42" t="s">
        <v>43</v>
      </c>
      <c r="D167" s="42" t="s">
        <v>132</v>
      </c>
      <c r="E167" s="42">
        <v>601</v>
      </c>
      <c r="F167" s="42"/>
      <c r="G167" s="42">
        <v>120.2</v>
      </c>
    </row>
    <row r="168" spans="1:7" x14ac:dyDescent="0.25">
      <c r="A168" s="41">
        <v>2017.5</v>
      </c>
      <c r="B168" s="41" t="s">
        <v>106</v>
      </c>
      <c r="C168" s="41" t="s">
        <v>43</v>
      </c>
      <c r="D168" s="41" t="s">
        <v>132</v>
      </c>
      <c r="E168" s="41">
        <v>622</v>
      </c>
      <c r="F168" s="41"/>
      <c r="G168" s="41">
        <v>124.4</v>
      </c>
    </row>
    <row r="169" spans="1:7" x14ac:dyDescent="0.25">
      <c r="A169" s="42">
        <v>2014.5</v>
      </c>
      <c r="B169" s="42" t="s">
        <v>106</v>
      </c>
      <c r="C169" s="42" t="s">
        <v>43</v>
      </c>
      <c r="D169" s="42" t="s">
        <v>131</v>
      </c>
      <c r="E169" s="42">
        <v>5964</v>
      </c>
      <c r="F169" s="42"/>
      <c r="G169" s="42">
        <v>1192.8</v>
      </c>
    </row>
    <row r="170" spans="1:7" x14ac:dyDescent="0.25">
      <c r="A170" s="41">
        <v>2015.5</v>
      </c>
      <c r="B170" s="41" t="s">
        <v>106</v>
      </c>
      <c r="C170" s="41" t="s">
        <v>43</v>
      </c>
      <c r="D170" s="41" t="s">
        <v>131</v>
      </c>
      <c r="E170" s="41">
        <v>7210</v>
      </c>
      <c r="F170" s="41"/>
      <c r="G170" s="41">
        <v>1442</v>
      </c>
    </row>
    <row r="171" spans="1:7" x14ac:dyDescent="0.25">
      <c r="A171" s="42">
        <v>2016.5</v>
      </c>
      <c r="B171" s="42" t="s">
        <v>106</v>
      </c>
      <c r="C171" s="42" t="s">
        <v>43</v>
      </c>
      <c r="D171" s="42" t="s">
        <v>131</v>
      </c>
      <c r="E171" s="42">
        <v>8258</v>
      </c>
      <c r="F171" s="42"/>
      <c r="G171" s="42">
        <v>1651.6000000000001</v>
      </c>
    </row>
    <row r="172" spans="1:7" x14ac:dyDescent="0.25">
      <c r="A172" s="41">
        <v>2017.5</v>
      </c>
      <c r="B172" s="41" t="s">
        <v>106</v>
      </c>
      <c r="C172" s="41" t="s">
        <v>43</v>
      </c>
      <c r="D172" s="41" t="s">
        <v>131</v>
      </c>
      <c r="E172" s="41">
        <v>8654</v>
      </c>
      <c r="F172" s="41"/>
      <c r="G172" s="41">
        <v>1730.8000000000002</v>
      </c>
    </row>
    <row r="173" spans="1:7" x14ac:dyDescent="0.25">
      <c r="A173" s="42">
        <v>2014.5</v>
      </c>
      <c r="B173" s="42" t="s">
        <v>107</v>
      </c>
      <c r="C173" s="42" t="s">
        <v>44</v>
      </c>
      <c r="D173" s="42" t="s">
        <v>132</v>
      </c>
      <c r="E173" s="42">
        <v>2645</v>
      </c>
      <c r="F173" s="42"/>
      <c r="G173" s="42">
        <v>529</v>
      </c>
    </row>
    <row r="174" spans="1:7" x14ac:dyDescent="0.25">
      <c r="A174" s="41">
        <v>2015.5</v>
      </c>
      <c r="B174" s="41" t="s">
        <v>107</v>
      </c>
      <c r="C174" s="41" t="s">
        <v>44</v>
      </c>
      <c r="D174" s="41" t="s">
        <v>132</v>
      </c>
      <c r="E174" s="41">
        <v>2950</v>
      </c>
      <c r="F174" s="41"/>
      <c r="G174" s="41">
        <v>590</v>
      </c>
    </row>
    <row r="175" spans="1:7" x14ac:dyDescent="0.25">
      <c r="A175" s="42">
        <v>2016.5</v>
      </c>
      <c r="B175" s="42" t="s">
        <v>107</v>
      </c>
      <c r="C175" s="42" t="s">
        <v>44</v>
      </c>
      <c r="D175" s="42" t="s">
        <v>132</v>
      </c>
      <c r="E175" s="42">
        <v>3017</v>
      </c>
      <c r="F175" s="42"/>
      <c r="G175" s="42">
        <v>603.4</v>
      </c>
    </row>
    <row r="176" spans="1:7" x14ac:dyDescent="0.25">
      <c r="A176" s="41">
        <v>2017.5</v>
      </c>
      <c r="B176" s="41" t="s">
        <v>107</v>
      </c>
      <c r="C176" s="41" t="s">
        <v>44</v>
      </c>
      <c r="D176" s="41" t="s">
        <v>132</v>
      </c>
      <c r="E176" s="41">
        <v>3197</v>
      </c>
      <c r="F176" s="41"/>
      <c r="G176" s="41">
        <v>639.40000000000009</v>
      </c>
    </row>
    <row r="177" spans="1:7" x14ac:dyDescent="0.25">
      <c r="A177" s="42">
        <v>2014.5</v>
      </c>
      <c r="B177" s="42" t="s">
        <v>107</v>
      </c>
      <c r="C177" s="42" t="s">
        <v>44</v>
      </c>
      <c r="D177" s="42" t="s">
        <v>131</v>
      </c>
      <c r="E177" s="42">
        <v>16163</v>
      </c>
      <c r="F177" s="42"/>
      <c r="G177" s="42">
        <v>3232.6000000000004</v>
      </c>
    </row>
    <row r="178" spans="1:7" x14ac:dyDescent="0.25">
      <c r="A178" s="41">
        <v>2015.5</v>
      </c>
      <c r="B178" s="41" t="s">
        <v>107</v>
      </c>
      <c r="C178" s="41" t="s">
        <v>44</v>
      </c>
      <c r="D178" s="41" t="s">
        <v>131</v>
      </c>
      <c r="E178" s="41">
        <v>18611</v>
      </c>
      <c r="F178" s="41"/>
      <c r="G178" s="41">
        <v>3722.2000000000003</v>
      </c>
    </row>
    <row r="179" spans="1:7" x14ac:dyDescent="0.25">
      <c r="A179" s="42">
        <v>2016.5</v>
      </c>
      <c r="B179" s="42" t="s">
        <v>107</v>
      </c>
      <c r="C179" s="42" t="s">
        <v>44</v>
      </c>
      <c r="D179" s="42" t="s">
        <v>131</v>
      </c>
      <c r="E179" s="42">
        <v>21477</v>
      </c>
      <c r="F179" s="42"/>
      <c r="G179" s="42">
        <v>4295.4000000000005</v>
      </c>
    </row>
    <row r="180" spans="1:7" x14ac:dyDescent="0.25">
      <c r="A180" s="41">
        <v>2017.5</v>
      </c>
      <c r="B180" s="41" t="s">
        <v>107</v>
      </c>
      <c r="C180" s="41" t="s">
        <v>44</v>
      </c>
      <c r="D180" s="41" t="s">
        <v>131</v>
      </c>
      <c r="E180" s="41">
        <v>23762</v>
      </c>
      <c r="F180" s="41"/>
      <c r="G180" s="41">
        <v>4752.4000000000005</v>
      </c>
    </row>
    <row r="181" spans="1:7" x14ac:dyDescent="0.25">
      <c r="A181" s="42">
        <v>2014.5</v>
      </c>
      <c r="B181" s="42" t="s">
        <v>107</v>
      </c>
      <c r="C181" s="42" t="s">
        <v>43</v>
      </c>
      <c r="D181" s="42" t="s">
        <v>132</v>
      </c>
      <c r="E181" s="42">
        <v>2778</v>
      </c>
      <c r="F181" s="42"/>
      <c r="G181" s="42">
        <v>555.6</v>
      </c>
    </row>
    <row r="182" spans="1:7" x14ac:dyDescent="0.25">
      <c r="A182" s="41">
        <v>2015.5</v>
      </c>
      <c r="B182" s="41" t="s">
        <v>107</v>
      </c>
      <c r="C182" s="41" t="s">
        <v>43</v>
      </c>
      <c r="D182" s="41" t="s">
        <v>132</v>
      </c>
      <c r="E182" s="41">
        <v>3136</v>
      </c>
      <c r="F182" s="41"/>
      <c r="G182" s="41">
        <v>627.20000000000005</v>
      </c>
    </row>
    <row r="183" spans="1:7" x14ac:dyDescent="0.25">
      <c r="A183" s="42">
        <v>2016.5</v>
      </c>
      <c r="B183" s="42" t="s">
        <v>107</v>
      </c>
      <c r="C183" s="42" t="s">
        <v>43</v>
      </c>
      <c r="D183" s="42" t="s">
        <v>132</v>
      </c>
      <c r="E183" s="42">
        <v>3299</v>
      </c>
      <c r="F183" s="42"/>
      <c r="G183" s="42">
        <v>659.80000000000007</v>
      </c>
    </row>
    <row r="184" spans="1:7" x14ac:dyDescent="0.25">
      <c r="A184" s="41">
        <v>2017.5</v>
      </c>
      <c r="B184" s="41" t="s">
        <v>107</v>
      </c>
      <c r="C184" s="41" t="s">
        <v>43</v>
      </c>
      <c r="D184" s="41" t="s">
        <v>132</v>
      </c>
      <c r="E184" s="41">
        <v>3569</v>
      </c>
      <c r="F184" s="41"/>
      <c r="G184" s="41">
        <v>713.80000000000007</v>
      </c>
    </row>
    <row r="185" spans="1:7" x14ac:dyDescent="0.25">
      <c r="A185" s="42">
        <v>2014.5</v>
      </c>
      <c r="B185" s="42" t="s">
        <v>107</v>
      </c>
      <c r="C185" s="42" t="s">
        <v>43</v>
      </c>
      <c r="D185" s="42" t="s">
        <v>131</v>
      </c>
      <c r="E185" s="42">
        <v>33911</v>
      </c>
      <c r="F185" s="42"/>
      <c r="G185" s="42">
        <v>6782.2000000000007</v>
      </c>
    </row>
    <row r="186" spans="1:7" x14ac:dyDescent="0.25">
      <c r="A186" s="41">
        <v>2015.5</v>
      </c>
      <c r="B186" s="41" t="s">
        <v>107</v>
      </c>
      <c r="C186" s="41" t="s">
        <v>43</v>
      </c>
      <c r="D186" s="41" t="s">
        <v>131</v>
      </c>
      <c r="E186" s="41">
        <v>39853</v>
      </c>
      <c r="F186" s="41"/>
      <c r="G186" s="41">
        <v>7970.6</v>
      </c>
    </row>
    <row r="187" spans="1:7" x14ac:dyDescent="0.25">
      <c r="A187" s="42">
        <v>2016.5</v>
      </c>
      <c r="B187" s="42" t="s">
        <v>107</v>
      </c>
      <c r="C187" s="42" t="s">
        <v>43</v>
      </c>
      <c r="D187" s="42" t="s">
        <v>131</v>
      </c>
      <c r="E187" s="42">
        <v>44892</v>
      </c>
      <c r="F187" s="42"/>
      <c r="G187" s="42">
        <v>8978.4</v>
      </c>
    </row>
    <row r="188" spans="1:7" x14ac:dyDescent="0.25">
      <c r="A188" s="41">
        <v>2017.5</v>
      </c>
      <c r="B188" s="41" t="s">
        <v>107</v>
      </c>
      <c r="C188" s="41" t="s">
        <v>43</v>
      </c>
      <c r="D188" s="41" t="s">
        <v>131</v>
      </c>
      <c r="E188" s="41">
        <v>48808</v>
      </c>
      <c r="F188" s="41"/>
      <c r="G188" s="41">
        <v>9761.6</v>
      </c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Kaftan, David</cp:lastModifiedBy>
  <dcterms:created xsi:type="dcterms:W3CDTF">2018-02-08T20:55:40Z</dcterms:created>
  <dcterms:modified xsi:type="dcterms:W3CDTF">2023-02-01T15:07:20Z</dcterms:modified>
</cp:coreProperties>
</file>